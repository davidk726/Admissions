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현재_통합_문서"/>
  <bookViews>
    <workbookView xWindow="105" yWindow="105" windowWidth="28695" windowHeight="6075"/>
  </bookViews>
  <sheets>
    <sheet name="수능(일반)" sheetId="2" r:id="rId1"/>
    <sheet name="수능(실기)" sheetId="3" r:id="rId2"/>
    <sheet name="실기우수자" sheetId="4" r:id="rId3"/>
  </sheets>
  <definedNames>
    <definedName name="_xlnm._FilterDatabase" localSheetId="1" hidden="1">'수능(실기)'!$A$3:$J$3</definedName>
    <definedName name="_xlnm._FilterDatabase" localSheetId="0" hidden="1">'수능(일반)'!$A$3:$P$3</definedName>
    <definedName name="_xlnm._FilterDatabase" localSheetId="2" hidden="1">실기우수자!$A$3:$J$3</definedName>
  </definedNames>
  <calcPr calcId="144525"/>
  <webPublishing codePage="949"/>
</workbook>
</file>

<file path=xl/calcChain.xml><?xml version="1.0" encoding="utf-8"?>
<calcChain xmlns="http://schemas.openxmlformats.org/spreadsheetml/2006/main">
  <c r="AC17" i="2" l="1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Y44" i="2"/>
  <c r="V44" i="2"/>
  <c r="T44" i="2"/>
  <c r="U44" i="2" s="1"/>
  <c r="S44" i="2"/>
  <c r="X44" i="2" s="1"/>
  <c r="Y31" i="2"/>
  <c r="X31" i="2"/>
  <c r="V31" i="2"/>
  <c r="U31" i="2"/>
  <c r="T31" i="2"/>
  <c r="S31" i="2"/>
  <c r="R35" i="2"/>
  <c r="S35" i="2"/>
  <c r="T35" i="2"/>
  <c r="U35" i="2"/>
  <c r="V35" i="2"/>
  <c r="X35" i="2"/>
  <c r="Y35" i="2"/>
  <c r="Z35" i="2"/>
  <c r="R36" i="2"/>
  <c r="S36" i="2"/>
  <c r="T36" i="2"/>
  <c r="U36" i="2"/>
  <c r="V36" i="2"/>
  <c r="X36" i="2"/>
  <c r="Y36" i="2"/>
  <c r="Z36" i="2"/>
  <c r="S37" i="2"/>
  <c r="T37" i="2"/>
  <c r="U37" i="2"/>
  <c r="V37" i="2"/>
  <c r="X37" i="2"/>
  <c r="Y37" i="2"/>
  <c r="Z37" i="2"/>
  <c r="S38" i="2"/>
  <c r="T38" i="2"/>
  <c r="U38" i="2"/>
  <c r="V38" i="2"/>
  <c r="X38" i="2"/>
  <c r="Y38" i="2"/>
  <c r="Z38" i="2"/>
  <c r="Z34" i="2"/>
  <c r="Y34" i="2"/>
  <c r="X34" i="2"/>
  <c r="V34" i="2"/>
  <c r="U34" i="2"/>
  <c r="T34" i="2"/>
  <c r="S34" i="2"/>
  <c r="R29" i="2"/>
  <c r="R23" i="2"/>
  <c r="S23" i="2"/>
  <c r="T23" i="2"/>
  <c r="U23" i="2"/>
  <c r="X23" i="2"/>
  <c r="Y23" i="2"/>
  <c r="Z23" i="2"/>
  <c r="R24" i="2"/>
  <c r="S24" i="2"/>
  <c r="T24" i="2"/>
  <c r="U24" i="2"/>
  <c r="V24" i="2"/>
  <c r="X24" i="2"/>
  <c r="Y24" i="2"/>
  <c r="Z24" i="2"/>
  <c r="R25" i="2"/>
  <c r="S25" i="2"/>
  <c r="T25" i="2"/>
  <c r="U25" i="2"/>
  <c r="V25" i="2"/>
  <c r="X25" i="2"/>
  <c r="Y25" i="2"/>
  <c r="Z25" i="2"/>
  <c r="S26" i="2"/>
  <c r="T26" i="2"/>
  <c r="U26" i="2"/>
  <c r="V26" i="2"/>
  <c r="X26" i="2"/>
  <c r="Y26" i="2"/>
  <c r="Z26" i="2"/>
  <c r="S27" i="2"/>
  <c r="T27" i="2"/>
  <c r="U27" i="2"/>
  <c r="V27" i="2"/>
  <c r="X27" i="2"/>
  <c r="Y27" i="2"/>
  <c r="Z27" i="2"/>
  <c r="S28" i="2"/>
  <c r="T28" i="2"/>
  <c r="U28" i="2"/>
  <c r="V28" i="2"/>
  <c r="X28" i="2"/>
  <c r="Y28" i="2"/>
  <c r="Z28" i="2"/>
  <c r="S29" i="2"/>
  <c r="T29" i="2"/>
  <c r="U29" i="2"/>
  <c r="X29" i="2"/>
  <c r="Y29" i="2"/>
  <c r="Z29" i="2"/>
  <c r="AC7" i="2"/>
  <c r="AD7" i="2"/>
  <c r="AE7" i="2"/>
  <c r="AH7" i="2"/>
  <c r="AC8" i="2"/>
  <c r="AD8" i="2"/>
  <c r="AE8" i="2"/>
  <c r="AH8" i="2"/>
  <c r="AC9" i="2"/>
  <c r="AD9" i="2"/>
  <c r="AE9" i="2"/>
  <c r="AH9" i="2"/>
  <c r="AC10" i="2"/>
  <c r="AD10" i="2"/>
  <c r="AE10" i="2"/>
  <c r="AH10" i="2"/>
  <c r="AC11" i="2"/>
  <c r="AD11" i="2"/>
  <c r="AE11" i="2"/>
  <c r="AH11" i="2"/>
  <c r="AC12" i="2"/>
  <c r="AD12" i="2"/>
  <c r="AE12" i="2"/>
  <c r="AH12" i="2"/>
  <c r="AC13" i="2"/>
  <c r="AD13" i="2"/>
  <c r="AE13" i="2"/>
  <c r="AH13" i="2"/>
  <c r="AC14" i="2"/>
  <c r="AD14" i="2"/>
  <c r="AE14" i="2"/>
  <c r="AH14" i="2"/>
  <c r="AC15" i="2"/>
  <c r="AD15" i="2"/>
  <c r="AE15" i="2"/>
  <c r="AH15" i="2"/>
  <c r="AC16" i="2"/>
  <c r="AD16" i="2"/>
  <c r="AE16" i="2"/>
  <c r="AH16" i="2"/>
  <c r="AH6" i="2"/>
  <c r="Z22" i="2"/>
  <c r="Y22" i="2"/>
  <c r="X22" i="2"/>
  <c r="V22" i="2"/>
  <c r="U22" i="2"/>
  <c r="T22" i="2"/>
  <c r="S22" i="2"/>
  <c r="R22" i="2"/>
  <c r="R7" i="2"/>
  <c r="S7" i="2"/>
  <c r="T7" i="2"/>
  <c r="U7" i="2"/>
  <c r="V7" i="2"/>
  <c r="X7" i="2"/>
  <c r="Y7" i="2"/>
  <c r="Z7" i="2"/>
  <c r="R8" i="2"/>
  <c r="S8" i="2"/>
  <c r="T8" i="2"/>
  <c r="U8" i="2"/>
  <c r="V8" i="2"/>
  <c r="X8" i="2"/>
  <c r="Y8" i="2"/>
  <c r="Z8" i="2"/>
  <c r="R9" i="2"/>
  <c r="S9" i="2"/>
  <c r="T9" i="2"/>
  <c r="U9" i="2"/>
  <c r="V9" i="2"/>
  <c r="X9" i="2"/>
  <c r="Y9" i="2"/>
  <c r="Z9" i="2"/>
  <c r="R10" i="2"/>
  <c r="S10" i="2"/>
  <c r="T10" i="2"/>
  <c r="U10" i="2"/>
  <c r="V10" i="2"/>
  <c r="X10" i="2"/>
  <c r="Y10" i="2"/>
  <c r="Z10" i="2"/>
  <c r="R11" i="2"/>
  <c r="S11" i="2"/>
  <c r="T11" i="2"/>
  <c r="U11" i="2"/>
  <c r="V11" i="2"/>
  <c r="X11" i="2"/>
  <c r="Y11" i="2"/>
  <c r="Z11" i="2"/>
  <c r="R12" i="2"/>
  <c r="S12" i="2"/>
  <c r="T12" i="2"/>
  <c r="U12" i="2"/>
  <c r="V12" i="2"/>
  <c r="X12" i="2"/>
  <c r="Y12" i="2"/>
  <c r="Z12" i="2"/>
  <c r="R13" i="2"/>
  <c r="S13" i="2"/>
  <c r="T13" i="2"/>
  <c r="U13" i="2"/>
  <c r="V13" i="2"/>
  <c r="X13" i="2"/>
  <c r="Y13" i="2"/>
  <c r="Z13" i="2"/>
  <c r="R14" i="2"/>
  <c r="S14" i="2"/>
  <c r="T14" i="2"/>
  <c r="U14" i="2"/>
  <c r="V14" i="2"/>
  <c r="X14" i="2"/>
  <c r="Y14" i="2"/>
  <c r="Z14" i="2"/>
  <c r="R15" i="2"/>
  <c r="S15" i="2"/>
  <c r="T15" i="2"/>
  <c r="U15" i="2"/>
  <c r="V15" i="2"/>
  <c r="X15" i="2"/>
  <c r="Y15" i="2"/>
  <c r="Z15" i="2"/>
  <c r="R16" i="2"/>
  <c r="S16" i="2"/>
  <c r="T16" i="2"/>
  <c r="U16" i="2"/>
  <c r="V16" i="2"/>
  <c r="X16" i="2"/>
  <c r="Y16" i="2"/>
  <c r="Z16" i="2"/>
  <c r="R17" i="2"/>
  <c r="S17" i="2"/>
  <c r="T17" i="2"/>
  <c r="U17" i="2"/>
  <c r="V17" i="2"/>
  <c r="X17" i="2"/>
  <c r="Y17" i="2"/>
  <c r="Z17" i="2"/>
  <c r="AD6" i="2"/>
  <c r="AE6" i="2"/>
  <c r="AC6" i="2"/>
  <c r="Y6" i="2"/>
  <c r="Z6" i="2"/>
  <c r="X6" i="2"/>
  <c r="V6" i="2"/>
  <c r="U6" i="2"/>
  <c r="T6" i="2"/>
  <c r="S6" i="2"/>
  <c r="R6" i="2"/>
</calcChain>
</file>

<file path=xl/sharedStrings.xml><?xml version="1.0" encoding="utf-8"?>
<sst xmlns="http://schemas.openxmlformats.org/spreadsheetml/2006/main" count="134" uniqueCount="57">
  <si>
    <t>모집단위</t>
  </si>
  <si>
    <t>모집인원</t>
  </si>
  <si>
    <t>지원인원</t>
  </si>
  <si>
    <t>경쟁률</t>
  </si>
  <si>
    <t>인문대학</t>
  </si>
  <si>
    <t>사회과학대학</t>
  </si>
  <si>
    <t>미디어·휴먼라이프대학</t>
  </si>
  <si>
    <t>경영대학</t>
  </si>
  <si>
    <t>인공지능·소프트웨어융합대학</t>
  </si>
  <si>
    <t>자율전공학부(인문)</t>
  </si>
  <si>
    <t>화학·생명과학대학</t>
  </si>
  <si>
    <t>스마트시스템공과대학</t>
  </si>
  <si>
    <t>반도체·ICT대학</t>
  </si>
  <si>
    <t>건축대학</t>
  </si>
  <si>
    <t>자율전공학부(자연)</t>
  </si>
  <si>
    <t>문예창작학과 운문</t>
  </si>
  <si>
    <t>문예창작학과 산문</t>
  </si>
  <si>
    <t>디지털콘텐츠디자인학과</t>
  </si>
  <si>
    <t>영상애니메이션디자인전공</t>
  </si>
  <si>
    <t>체육학전공, 스포츠산업학전공</t>
  </si>
  <si>
    <t>연극·영화전공(연극)</t>
  </si>
  <si>
    <t>연극·영화전공(영화)</t>
  </si>
  <si>
    <t>건축학전공</t>
  </si>
  <si>
    <t>건반음악전공</t>
  </si>
  <si>
    <t>보컬뮤직전공(성악)</t>
  </si>
  <si>
    <t>보컬뮤직전공(실용보컬)</t>
  </si>
  <si>
    <t>작곡전공</t>
  </si>
  <si>
    <t>뮤지컬공연전공</t>
  </si>
  <si>
    <t>-</t>
    <phoneticPr fontId="1" type="noConversion"/>
  </si>
  <si>
    <t>최종등록자</t>
    <phoneticPr fontId="7" type="noConversion"/>
  </si>
  <si>
    <t>수능성적 환산점수(1,000점 만점)</t>
    <phoneticPr fontId="7" type="noConversion"/>
  </si>
  <si>
    <t>최고</t>
  </si>
  <si>
    <t>평균</t>
  </si>
  <si>
    <t>70%cut</t>
    <phoneticPr fontId="7" type="noConversion"/>
  </si>
  <si>
    <t>최저</t>
  </si>
  <si>
    <t>표준편차</t>
  </si>
  <si>
    <t>2026학년도 명지대학교 정시모집 수능(일반전형) 입시결과</t>
    <phoneticPr fontId="1" type="noConversion"/>
  </si>
  <si>
    <t>수능성적 백분위평균
(국어/수학/탐구1과목)</t>
    <phoneticPr fontId="7" type="noConversion"/>
  </si>
  <si>
    <t>평균</t>
    <phoneticPr fontId="1" type="noConversion"/>
  </si>
  <si>
    <t>최종
예비순위</t>
    <phoneticPr fontId="1" type="noConversion"/>
  </si>
  <si>
    <t>수능
영어등급</t>
    <phoneticPr fontId="1" type="noConversion"/>
  </si>
  <si>
    <r>
      <rPr>
        <b/>
        <sz val="10"/>
        <rFont val="굴림"/>
        <family val="3"/>
        <charset val="129"/>
      </rPr>
      <t>▶ 수능성적 산출방법 [활용지표: 백분위]</t>
    </r>
    <r>
      <rPr>
        <sz val="10"/>
        <rFont val="굴림"/>
        <family val="3"/>
        <charset val="129"/>
      </rPr>
      <t xml:space="preserve">
1. 인문사회계열(경영대학 외) : 인문대학, 사회과학대학, 미디어·휴먼라이프대학, 자율전공학부(인문)
= (국어x3.5)+(수학x2.5)+(영어등급별환산점수x2)+(탐구상위1과목x2)
2. 인문사회계열(경영대학) : 경영대학
= (국어x3)+(수학x3)+(영어등급별환산점수x2)+(탐구상위1과목x2)
3. 자연공학계열 : 인공지능·소프트웨어융합대학, 화학·생명과학대학, 스마트시스템공과대학, 반도체·ICT대학, 건축대학, 자율전공학부(자연)
= (국어x2.5)+(수학x3.5)+(영어등급별환산점수x2)+(탐구상위1과목x2))
   </t>
    </r>
    <r>
      <rPr>
        <b/>
        <sz val="10"/>
        <rFont val="굴림"/>
        <family val="3"/>
        <charset val="129"/>
      </rPr>
      <t>※ 과학탐구 선택 시 취득 백분위 반영점수의 10% 가산점 부여
▶ 수능성적 백분위평균 : 최종등록자 기준의 국어, 수학, 탐구 상위 1과목의 단순 평균값(영어 등급 제외)
▶ 70%cut의 성적은 최종등록인원 기준 70% 순위(소수첫째자리 올림처리)에 해당하는 등록자의 성적임</t>
    </r>
    <phoneticPr fontId="1" type="noConversion"/>
  </si>
  <si>
    <t>모집단위</t>
    <phoneticPr fontId="7" type="noConversion"/>
  </si>
  <si>
    <t>지원인원</t>
    <phoneticPr fontId="7" type="noConversion"/>
  </si>
  <si>
    <t>최종
예비순위</t>
    <phoneticPr fontId="7" type="noConversion"/>
  </si>
  <si>
    <t>수능성적 환산점수(600점 만점)</t>
    <phoneticPr fontId="7" type="noConversion"/>
  </si>
  <si>
    <t>2026학년도 명지대학교 정시모집 수능(실기전형) 입시결과</t>
    <phoneticPr fontId="1" type="noConversion"/>
  </si>
  <si>
    <r>
      <rPr>
        <b/>
        <sz val="10"/>
        <rFont val="굴림"/>
        <family val="3"/>
        <charset val="129"/>
      </rPr>
      <t>▶ 수능성적 산출방법 [활용지표: 백분위]</t>
    </r>
    <r>
      <rPr>
        <sz val="10"/>
        <rFont val="굴림"/>
        <family val="3"/>
        <charset val="129"/>
      </rPr>
      <t xml:space="preserve">
1. 문예창작학과, 디지털콘텐츠디자인학과, 건축학부(건축학전공) = [(국어x3.5)+(수학x3)+(영어등급별환산점수x3.5)+(탐구상위1과목x3)] x 6/10
2. 영상애니메이션디자인전공, 체육학·스포츠산업학전공, 연극·영화전공 = (국어x3)+(영어등급별환산점수x3)
</t>
    </r>
    <r>
      <rPr>
        <b/>
        <sz val="10"/>
        <rFont val="굴림"/>
        <family val="3"/>
        <charset val="129"/>
      </rPr>
      <t>▶ 70%cut의 성적은 최종등록인원 기준 70% 순위(소수첫째자리 올림처리)에 해당하는 등록자의 성적임</t>
    </r>
    <phoneticPr fontId="1" type="noConversion"/>
  </si>
  <si>
    <t>2026학년도 명지대학교 정시모집 실기/실적(실기우수자전형) 입시결과</t>
    <phoneticPr fontId="1" type="noConversion"/>
  </si>
  <si>
    <t>수능성적 환산점수(200점 만점)</t>
    <phoneticPr fontId="7" type="noConversion"/>
  </si>
  <si>
    <r>
      <rPr>
        <b/>
        <sz val="10"/>
        <rFont val="굴림"/>
        <family val="3"/>
        <charset val="129"/>
      </rPr>
      <t>▶ 수능성적 산출방법 [활용지표: 백분위]</t>
    </r>
    <r>
      <rPr>
        <sz val="10"/>
        <rFont val="굴림"/>
        <family val="3"/>
        <charset val="129"/>
      </rPr>
      <t xml:space="preserve">
    건반음악전공, 보컬뮤직전공, 작곡전공, 뮤지컬공연전공 = (국어x1)+(영어등급별환산점수x1)
</t>
    </r>
    <r>
      <rPr>
        <b/>
        <sz val="10"/>
        <rFont val="굴림"/>
        <family val="3"/>
        <charset val="129"/>
      </rPr>
      <t>▶ 70%cut의 성적은 최종등록인원 기준 70% 순위(소수첫째자리 올림처리)에 해당하는 등록자의 성적임</t>
    </r>
    <phoneticPr fontId="1" type="noConversion"/>
  </si>
  <si>
    <t>만점</t>
    <phoneticPr fontId="1" type="noConversion"/>
  </si>
  <si>
    <t>연극전공</t>
  </si>
  <si>
    <t>영화전공</t>
  </si>
  <si>
    <t>체육학전공,스포츠산업학전공</t>
  </si>
  <si>
    <t>문예창작학과</t>
  </si>
  <si>
    <t>보컬뮤직전공(성악, 실용보컬)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</si>
</sst>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0" x14ac:knownFonts="1">
    <font>
      <sz val="9"/>
      <name val="돋움체"/>
      <charset val="129"/>
    </font>
    <font>
      <sz val="8"/>
      <name val="돋움체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돋움체"/>
      <family val="3"/>
      <charset val="129"/>
    </font>
    <font>
      <b/>
      <sz val="18"/>
      <name val="돋움체"/>
      <family val="3"/>
      <charset val="129"/>
    </font>
    <font>
      <b/>
      <sz val="10"/>
      <color indexed="64"/>
      <name val="굴림"/>
      <family val="3"/>
      <charset val="129"/>
    </font>
    <font>
      <sz val="8"/>
      <name val="돋움"/>
      <family val="3"/>
      <charset val="129"/>
    </font>
    <font>
      <b/>
      <sz val="9"/>
      <color indexed="64"/>
      <name val="굴림"/>
      <family val="3"/>
      <charset val="129"/>
    </font>
    <font>
      <sz val="10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/>
    <xf numFmtId="2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176" fontId="2" fillId="0" borderId="11" xfId="0" applyNumberFormat="1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2" fontId="2" fillId="0" borderId="5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2" fontId="2" fillId="0" borderId="11" xfId="0" applyNumberFormat="1" applyFont="1" applyFill="1" applyBorder="1" applyAlignment="1">
      <alignment horizontal="center" vertical="center" wrapText="1"/>
    </xf>
    <xf numFmtId="2" fontId="2" fillId="0" borderId="6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2" fontId="0" fillId="0" borderId="0" xfId="0" applyNumberFormat="1"/>
    <xf numFmtId="176" fontId="0" fillId="0" borderId="0" xfId="0" applyNumberFormat="1"/>
    <xf numFmtId="0" fontId="9" fillId="0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44"/>
  <sheetViews>
    <sheetView tabSelected="1" topLeftCell="S1" zoomScale="115" zoomScaleNormal="115" workbookViewId="0">
      <pane ySplit="3" topLeftCell="A4" activePane="bottomLeft" state="frozenSplit"/>
      <selection pane="bottomLeft" activeCell="Z5" sqref="Z5"/>
    </sheetView>
  </sheetViews>
  <sheetFormatPr defaultColWidth="16.6640625" defaultRowHeight="18" customHeight="1" x14ac:dyDescent="0.15"/>
  <cols>
    <col min="1" max="1" width="33.6640625" bestFit="1" customWidth="1"/>
    <col min="2" max="5" width="10.83203125" customWidth="1"/>
    <col min="6" max="16" width="9.83203125" customWidth="1"/>
    <col min="18" max="18" width="34.83203125" customWidth="1"/>
  </cols>
  <sheetData>
    <row r="1" spans="1:34" ht="22.5" x14ac:dyDescent="0.15">
      <c r="A1" s="27" t="s">
        <v>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34" ht="18" customHeight="1" thickBot="1" x14ac:dyDescent="0.2"/>
    <row r="3" spans="1:34" s="2" customFormat="1" ht="24.95" customHeight="1" x14ac:dyDescent="0.15">
      <c r="A3" s="30" t="s">
        <v>0</v>
      </c>
      <c r="B3" s="32" t="s">
        <v>1</v>
      </c>
      <c r="C3" s="32" t="s">
        <v>2</v>
      </c>
      <c r="D3" s="32" t="s">
        <v>3</v>
      </c>
      <c r="E3" s="32" t="s">
        <v>39</v>
      </c>
      <c r="F3" s="34" t="s">
        <v>29</v>
      </c>
      <c r="G3" s="35"/>
      <c r="H3" s="35"/>
      <c r="I3" s="35"/>
      <c r="J3" s="35"/>
      <c r="K3" s="35"/>
      <c r="L3" s="35"/>
      <c r="M3" s="35"/>
      <c r="N3" s="35"/>
      <c r="O3" s="35"/>
      <c r="P3" s="36"/>
    </row>
    <row r="4" spans="1:34" s="2" customFormat="1" ht="24.95" customHeight="1" x14ac:dyDescent="0.15">
      <c r="A4" s="31"/>
      <c r="B4" s="33"/>
      <c r="C4" s="33"/>
      <c r="D4" s="33"/>
      <c r="E4" s="33"/>
      <c r="F4" s="33" t="s">
        <v>30</v>
      </c>
      <c r="G4" s="33"/>
      <c r="H4" s="33"/>
      <c r="I4" s="33"/>
      <c r="J4" s="33"/>
      <c r="K4" s="33" t="s">
        <v>37</v>
      </c>
      <c r="L4" s="33"/>
      <c r="M4" s="33"/>
      <c r="N4" s="33"/>
      <c r="O4" s="33"/>
      <c r="P4" s="14" t="s">
        <v>40</v>
      </c>
      <c r="X4" s="33" t="s">
        <v>30</v>
      </c>
      <c r="Y4" s="33"/>
      <c r="Z4" s="33"/>
      <c r="AA4" s="33"/>
      <c r="AB4" s="33"/>
      <c r="AC4" s="33" t="s">
        <v>37</v>
      </c>
      <c r="AD4" s="33"/>
      <c r="AE4" s="33"/>
      <c r="AF4" s="33"/>
      <c r="AG4" s="33"/>
      <c r="AH4" s="14" t="s">
        <v>40</v>
      </c>
    </row>
    <row r="5" spans="1:34" s="2" customFormat="1" ht="24.95" customHeight="1" x14ac:dyDescent="0.15">
      <c r="A5" s="31"/>
      <c r="B5" s="33"/>
      <c r="C5" s="33"/>
      <c r="D5" s="33"/>
      <c r="E5" s="33"/>
      <c r="F5" s="5" t="s">
        <v>31</v>
      </c>
      <c r="G5" s="5" t="s">
        <v>32</v>
      </c>
      <c r="H5" s="5" t="s">
        <v>33</v>
      </c>
      <c r="I5" s="5" t="s">
        <v>34</v>
      </c>
      <c r="J5" s="15" t="s">
        <v>35</v>
      </c>
      <c r="K5" s="5" t="s">
        <v>31</v>
      </c>
      <c r="L5" s="5" t="s">
        <v>32</v>
      </c>
      <c r="M5" s="5" t="s">
        <v>33</v>
      </c>
      <c r="N5" s="5" t="s">
        <v>34</v>
      </c>
      <c r="O5" s="15" t="s">
        <v>35</v>
      </c>
      <c r="P5" s="6" t="s">
        <v>38</v>
      </c>
      <c r="W5" s="2" t="s">
        <v>51</v>
      </c>
      <c r="X5" s="22" t="s">
        <v>32</v>
      </c>
      <c r="Y5" s="15" t="s">
        <v>35</v>
      </c>
      <c r="Z5" s="22" t="s">
        <v>34</v>
      </c>
      <c r="AC5" s="22" t="s">
        <v>32</v>
      </c>
      <c r="AD5" s="15" t="s">
        <v>35</v>
      </c>
      <c r="AE5" s="22" t="s">
        <v>34</v>
      </c>
      <c r="AH5" s="6" t="s">
        <v>38</v>
      </c>
    </row>
    <row r="6" spans="1:34" ht="24.95" customHeight="1" x14ac:dyDescent="0.15">
      <c r="A6" s="7" t="s">
        <v>4</v>
      </c>
      <c r="B6" s="1">
        <v>85</v>
      </c>
      <c r="C6" s="1">
        <v>345</v>
      </c>
      <c r="D6" s="3">
        <v>4.0599999999999996</v>
      </c>
      <c r="E6" s="1">
        <v>31</v>
      </c>
      <c r="F6" s="3">
        <v>886.5</v>
      </c>
      <c r="G6" s="3">
        <v>854.01189999999997</v>
      </c>
      <c r="H6" s="3">
        <v>851</v>
      </c>
      <c r="I6" s="3">
        <v>848</v>
      </c>
      <c r="J6" s="3">
        <v>5.7313999999999998</v>
      </c>
      <c r="K6" s="4">
        <v>87.333299999999994</v>
      </c>
      <c r="L6" s="4">
        <v>82.611099999999993</v>
      </c>
      <c r="M6" s="4">
        <v>84.333299999999994</v>
      </c>
      <c r="N6" s="4">
        <v>78.333299999999994</v>
      </c>
      <c r="O6" s="4">
        <v>1.7098</v>
      </c>
      <c r="P6" s="8">
        <v>2.8214000000000001</v>
      </c>
      <c r="R6" t="str">
        <f>A6</f>
        <v>인문대학</v>
      </c>
      <c r="S6">
        <f>B6</f>
        <v>85</v>
      </c>
      <c r="T6">
        <f>C6</f>
        <v>345</v>
      </c>
      <c r="U6" s="49">
        <f>D6</f>
        <v>4.0599999999999996</v>
      </c>
      <c r="V6">
        <f>E6</f>
        <v>31</v>
      </c>
      <c r="W6">
        <v>1000</v>
      </c>
      <c r="X6" s="49">
        <f>G6</f>
        <v>854.01189999999997</v>
      </c>
      <c r="Y6" s="49">
        <f>J6</f>
        <v>5.7313999999999998</v>
      </c>
      <c r="Z6" s="49">
        <f>I6</f>
        <v>848</v>
      </c>
      <c r="AC6" s="50">
        <f>L6</f>
        <v>82.611099999999993</v>
      </c>
      <c r="AD6" s="50">
        <f>O6</f>
        <v>1.7098</v>
      </c>
      <c r="AE6" s="50">
        <f>N6</f>
        <v>78.333299999999994</v>
      </c>
      <c r="AH6" s="50">
        <f>P6</f>
        <v>2.8214000000000001</v>
      </c>
    </row>
    <row r="7" spans="1:34" ht="24.95" customHeight="1" x14ac:dyDescent="0.15">
      <c r="A7" s="7" t="s">
        <v>5</v>
      </c>
      <c r="B7" s="1">
        <v>89</v>
      </c>
      <c r="C7" s="1">
        <v>398</v>
      </c>
      <c r="D7" s="3">
        <v>4.47</v>
      </c>
      <c r="E7" s="1">
        <v>42</v>
      </c>
      <c r="F7" s="3">
        <v>883.5</v>
      </c>
      <c r="G7" s="3">
        <v>861.53930000000003</v>
      </c>
      <c r="H7" s="3">
        <v>856</v>
      </c>
      <c r="I7" s="3">
        <v>851</v>
      </c>
      <c r="J7" s="3">
        <v>7.8487999999999998</v>
      </c>
      <c r="K7" s="4">
        <v>87.666700000000006</v>
      </c>
      <c r="L7" s="4">
        <v>83.322100000000006</v>
      </c>
      <c r="M7" s="4">
        <v>83.666700000000006</v>
      </c>
      <c r="N7" s="4">
        <v>80</v>
      </c>
      <c r="O7" s="4">
        <v>1.7316</v>
      </c>
      <c r="P7" s="8">
        <v>2.8315000000000001</v>
      </c>
      <c r="R7" t="str">
        <f t="shared" ref="R7:R17" si="0">A7</f>
        <v>사회과학대학</v>
      </c>
      <c r="S7">
        <f t="shared" ref="S7:S17" si="1">B7</f>
        <v>89</v>
      </c>
      <c r="T7">
        <f t="shared" ref="T7:T17" si="2">C7</f>
        <v>398</v>
      </c>
      <c r="U7" s="49">
        <f t="shared" ref="U7:U17" si="3">D7</f>
        <v>4.47</v>
      </c>
      <c r="V7">
        <f t="shared" ref="V7:V17" si="4">E7</f>
        <v>42</v>
      </c>
      <c r="W7">
        <v>1000</v>
      </c>
      <c r="X7" s="49">
        <f t="shared" ref="X7:X17" si="5">G7</f>
        <v>861.53930000000003</v>
      </c>
      <c r="Y7" s="49">
        <f t="shared" ref="Y7:Y17" si="6">J7</f>
        <v>7.8487999999999998</v>
      </c>
      <c r="Z7" s="49">
        <f t="shared" ref="Z7:Z17" si="7">I7</f>
        <v>851</v>
      </c>
      <c r="AC7" s="50">
        <f t="shared" ref="AC7:AC16" si="8">L7</f>
        <v>83.322100000000006</v>
      </c>
      <c r="AD7" s="50">
        <f t="shared" ref="AD7:AD16" si="9">O7</f>
        <v>1.7316</v>
      </c>
      <c r="AE7" s="50">
        <f t="shared" ref="AE7:AE16" si="10">N7</f>
        <v>80</v>
      </c>
      <c r="AH7" s="50">
        <f t="shared" ref="AH7:AH16" si="11">P7</f>
        <v>2.8315000000000001</v>
      </c>
    </row>
    <row r="8" spans="1:34" ht="24.95" customHeight="1" x14ac:dyDescent="0.15">
      <c r="A8" s="7" t="s">
        <v>6</v>
      </c>
      <c r="B8" s="1">
        <v>23</v>
      </c>
      <c r="C8" s="1">
        <v>109</v>
      </c>
      <c r="D8" s="3">
        <v>4.74</v>
      </c>
      <c r="E8" s="1">
        <v>12</v>
      </c>
      <c r="F8" s="3">
        <v>876</v>
      </c>
      <c r="G8" s="3">
        <v>857.63040000000001</v>
      </c>
      <c r="H8" s="3">
        <v>854</v>
      </c>
      <c r="I8" s="3">
        <v>837</v>
      </c>
      <c r="J8" s="3">
        <v>9.8063000000000002</v>
      </c>
      <c r="K8" s="4">
        <v>85.666700000000006</v>
      </c>
      <c r="L8" s="4">
        <v>82.507199999999997</v>
      </c>
      <c r="M8" s="4">
        <v>80.333299999999994</v>
      </c>
      <c r="N8" s="4">
        <v>79.333299999999994</v>
      </c>
      <c r="O8" s="4">
        <v>2.0072000000000001</v>
      </c>
      <c r="P8" s="8">
        <v>2.8260999999999998</v>
      </c>
      <c r="R8" t="str">
        <f t="shared" si="0"/>
        <v>미디어·휴먼라이프대학</v>
      </c>
      <c r="S8">
        <f t="shared" si="1"/>
        <v>23</v>
      </c>
      <c r="T8">
        <f t="shared" si="2"/>
        <v>109</v>
      </c>
      <c r="U8" s="49">
        <f t="shared" si="3"/>
        <v>4.74</v>
      </c>
      <c r="V8">
        <f t="shared" si="4"/>
        <v>12</v>
      </c>
      <c r="W8">
        <v>1000</v>
      </c>
      <c r="X8" s="49">
        <f t="shared" si="5"/>
        <v>857.63040000000001</v>
      </c>
      <c r="Y8" s="49">
        <f t="shared" si="6"/>
        <v>9.8063000000000002</v>
      </c>
      <c r="Z8" s="49">
        <f t="shared" si="7"/>
        <v>837</v>
      </c>
      <c r="AC8" s="50">
        <f t="shared" si="8"/>
        <v>82.507199999999997</v>
      </c>
      <c r="AD8" s="50">
        <f t="shared" si="9"/>
        <v>2.0072000000000001</v>
      </c>
      <c r="AE8" s="50">
        <f t="shared" si="10"/>
        <v>79.333299999999994</v>
      </c>
      <c r="AH8" s="50">
        <f t="shared" si="11"/>
        <v>2.8260999999999998</v>
      </c>
    </row>
    <row r="9" spans="1:34" ht="24.95" customHeight="1" x14ac:dyDescent="0.15">
      <c r="A9" s="7" t="s">
        <v>7</v>
      </c>
      <c r="B9" s="1">
        <v>58</v>
      </c>
      <c r="C9" s="1">
        <v>462</v>
      </c>
      <c r="D9" s="3">
        <v>7.97</v>
      </c>
      <c r="E9" s="1">
        <v>62</v>
      </c>
      <c r="F9" s="3">
        <v>911</v>
      </c>
      <c r="G9" s="3">
        <v>881.57140000000004</v>
      </c>
      <c r="H9" s="3">
        <v>874</v>
      </c>
      <c r="I9" s="3">
        <v>871</v>
      </c>
      <c r="J9" s="3">
        <v>9.7492999999999999</v>
      </c>
      <c r="K9" s="4">
        <v>91.333299999999994</v>
      </c>
      <c r="L9" s="4">
        <v>86.464299999999994</v>
      </c>
      <c r="M9" s="4">
        <v>85</v>
      </c>
      <c r="N9" s="4">
        <v>83.666700000000006</v>
      </c>
      <c r="O9" s="4">
        <v>1.6289</v>
      </c>
      <c r="P9" s="8">
        <v>2.9464000000000001</v>
      </c>
      <c r="R9" t="str">
        <f t="shared" si="0"/>
        <v>경영대학</v>
      </c>
      <c r="S9">
        <f t="shared" si="1"/>
        <v>58</v>
      </c>
      <c r="T9">
        <f t="shared" si="2"/>
        <v>462</v>
      </c>
      <c r="U9" s="49">
        <f t="shared" si="3"/>
        <v>7.97</v>
      </c>
      <c r="V9">
        <f t="shared" si="4"/>
        <v>62</v>
      </c>
      <c r="W9">
        <v>1000</v>
      </c>
      <c r="X9" s="49">
        <f t="shared" si="5"/>
        <v>881.57140000000004</v>
      </c>
      <c r="Y9" s="49">
        <f t="shared" si="6"/>
        <v>9.7492999999999999</v>
      </c>
      <c r="Z9" s="49">
        <f t="shared" si="7"/>
        <v>871</v>
      </c>
      <c r="AC9" s="50">
        <f t="shared" si="8"/>
        <v>86.464299999999994</v>
      </c>
      <c r="AD9" s="50">
        <f t="shared" si="9"/>
        <v>1.6289</v>
      </c>
      <c r="AE9" s="50">
        <f t="shared" si="10"/>
        <v>83.666700000000006</v>
      </c>
      <c r="AH9" s="50">
        <f t="shared" si="11"/>
        <v>2.9464000000000001</v>
      </c>
    </row>
    <row r="10" spans="1:34" ht="24.95" customHeight="1" x14ac:dyDescent="0.15">
      <c r="A10" s="7" t="s">
        <v>8</v>
      </c>
      <c r="B10" s="1">
        <v>26</v>
      </c>
      <c r="C10" s="1">
        <v>213</v>
      </c>
      <c r="D10" s="3">
        <v>8.19</v>
      </c>
      <c r="E10" s="1">
        <v>35</v>
      </c>
      <c r="F10" s="3">
        <v>910.6</v>
      </c>
      <c r="G10" s="3">
        <v>895.18079999999998</v>
      </c>
      <c r="H10" s="3">
        <v>889.1</v>
      </c>
      <c r="I10" s="3">
        <v>882</v>
      </c>
      <c r="J10" s="3">
        <v>8.6920000000000002</v>
      </c>
      <c r="K10" s="4">
        <v>92</v>
      </c>
      <c r="L10" s="4">
        <v>85.948700000000002</v>
      </c>
      <c r="M10" s="4">
        <v>84.666700000000006</v>
      </c>
      <c r="N10" s="4">
        <v>82</v>
      </c>
      <c r="O10" s="4">
        <v>2.3029999999999999</v>
      </c>
      <c r="P10" s="8">
        <v>2.8845999999999998</v>
      </c>
      <c r="R10" t="str">
        <f t="shared" si="0"/>
        <v>인공지능·소프트웨어융합대학</v>
      </c>
      <c r="S10">
        <f t="shared" si="1"/>
        <v>26</v>
      </c>
      <c r="T10">
        <f t="shared" si="2"/>
        <v>213</v>
      </c>
      <c r="U10" s="49">
        <f t="shared" si="3"/>
        <v>8.19</v>
      </c>
      <c r="V10">
        <f t="shared" si="4"/>
        <v>35</v>
      </c>
      <c r="W10">
        <v>1000</v>
      </c>
      <c r="X10" s="49">
        <f t="shared" si="5"/>
        <v>895.18079999999998</v>
      </c>
      <c r="Y10" s="49">
        <f t="shared" si="6"/>
        <v>8.6920000000000002</v>
      </c>
      <c r="Z10" s="49">
        <f t="shared" si="7"/>
        <v>882</v>
      </c>
      <c r="AC10" s="50">
        <f t="shared" si="8"/>
        <v>85.948700000000002</v>
      </c>
      <c r="AD10" s="50">
        <f t="shared" si="9"/>
        <v>2.3029999999999999</v>
      </c>
      <c r="AE10" s="50">
        <f t="shared" si="10"/>
        <v>82</v>
      </c>
      <c r="AH10" s="50">
        <f t="shared" si="11"/>
        <v>2.8845999999999998</v>
      </c>
    </row>
    <row r="11" spans="1:34" ht="24.95" customHeight="1" x14ac:dyDescent="0.15">
      <c r="A11" s="7" t="s">
        <v>9</v>
      </c>
      <c r="B11" s="1">
        <v>140</v>
      </c>
      <c r="C11" s="1">
        <v>699</v>
      </c>
      <c r="D11" s="3">
        <v>4.99</v>
      </c>
      <c r="E11" s="1">
        <v>78</v>
      </c>
      <c r="F11" s="3">
        <v>893</v>
      </c>
      <c r="G11" s="3">
        <v>865.83569999999997</v>
      </c>
      <c r="H11" s="3">
        <v>860.5</v>
      </c>
      <c r="I11" s="3">
        <v>857.5</v>
      </c>
      <c r="J11" s="3">
        <v>7.2750000000000004</v>
      </c>
      <c r="K11" s="4">
        <v>90.333299999999994</v>
      </c>
      <c r="L11" s="4">
        <v>83.9405</v>
      </c>
      <c r="M11" s="4">
        <v>81.666700000000006</v>
      </c>
      <c r="N11" s="4">
        <v>79.666700000000006</v>
      </c>
      <c r="O11" s="4">
        <v>1.6866000000000001</v>
      </c>
      <c r="P11" s="8">
        <v>2.7928999999999999</v>
      </c>
      <c r="R11" t="str">
        <f t="shared" si="0"/>
        <v>자율전공학부(인문)</v>
      </c>
      <c r="S11">
        <f t="shared" si="1"/>
        <v>140</v>
      </c>
      <c r="T11">
        <f t="shared" si="2"/>
        <v>699</v>
      </c>
      <c r="U11" s="49">
        <f t="shared" si="3"/>
        <v>4.99</v>
      </c>
      <c r="V11">
        <f t="shared" si="4"/>
        <v>78</v>
      </c>
      <c r="W11">
        <v>1000</v>
      </c>
      <c r="X11" s="49">
        <f t="shared" si="5"/>
        <v>865.83569999999997</v>
      </c>
      <c r="Y11" s="49">
        <f t="shared" si="6"/>
        <v>7.2750000000000004</v>
      </c>
      <c r="Z11" s="49">
        <f t="shared" si="7"/>
        <v>857.5</v>
      </c>
      <c r="AC11" s="50">
        <f t="shared" si="8"/>
        <v>83.9405</v>
      </c>
      <c r="AD11" s="50">
        <f t="shared" si="9"/>
        <v>1.6866000000000001</v>
      </c>
      <c r="AE11" s="50">
        <f t="shared" si="10"/>
        <v>79.666700000000006</v>
      </c>
      <c r="AH11" s="50">
        <f t="shared" si="11"/>
        <v>2.7928999999999999</v>
      </c>
    </row>
    <row r="12" spans="1:34" ht="24.95" customHeight="1" x14ac:dyDescent="0.15">
      <c r="A12" s="7" t="s">
        <v>10</v>
      </c>
      <c r="B12" s="1">
        <v>42</v>
      </c>
      <c r="C12" s="1">
        <v>244</v>
      </c>
      <c r="D12" s="3">
        <v>5.81</v>
      </c>
      <c r="E12" s="1">
        <v>39</v>
      </c>
      <c r="F12" s="3">
        <v>887.4</v>
      </c>
      <c r="G12" s="3">
        <v>855.37139999999999</v>
      </c>
      <c r="H12" s="3">
        <v>848.7</v>
      </c>
      <c r="I12" s="3">
        <v>845</v>
      </c>
      <c r="J12" s="3">
        <v>9.7780000000000005</v>
      </c>
      <c r="K12" s="4">
        <v>86.333299999999994</v>
      </c>
      <c r="L12" s="4">
        <v>81.039699999999996</v>
      </c>
      <c r="M12" s="4">
        <v>78.666700000000006</v>
      </c>
      <c r="N12" s="4">
        <v>77.333299999999994</v>
      </c>
      <c r="O12" s="4">
        <v>1.9439</v>
      </c>
      <c r="P12" s="8">
        <v>3.1429</v>
      </c>
      <c r="R12" t="str">
        <f t="shared" si="0"/>
        <v>화학·생명과학대학</v>
      </c>
      <c r="S12">
        <f t="shared" si="1"/>
        <v>42</v>
      </c>
      <c r="T12">
        <f t="shared" si="2"/>
        <v>244</v>
      </c>
      <c r="U12" s="49">
        <f t="shared" si="3"/>
        <v>5.81</v>
      </c>
      <c r="V12">
        <f t="shared" si="4"/>
        <v>39</v>
      </c>
      <c r="W12">
        <v>1000</v>
      </c>
      <c r="X12" s="49">
        <f t="shared" si="5"/>
        <v>855.37139999999999</v>
      </c>
      <c r="Y12" s="49">
        <f t="shared" si="6"/>
        <v>9.7780000000000005</v>
      </c>
      <c r="Z12" s="49">
        <f t="shared" si="7"/>
        <v>845</v>
      </c>
      <c r="AC12" s="50">
        <f t="shared" si="8"/>
        <v>81.039699999999996</v>
      </c>
      <c r="AD12" s="50">
        <f t="shared" si="9"/>
        <v>1.9439</v>
      </c>
      <c r="AE12" s="50">
        <f t="shared" si="10"/>
        <v>77.333299999999994</v>
      </c>
      <c r="AH12" s="50">
        <f t="shared" si="11"/>
        <v>3.1429</v>
      </c>
    </row>
    <row r="13" spans="1:34" ht="24.95" customHeight="1" x14ac:dyDescent="0.15">
      <c r="A13" s="7" t="s">
        <v>11</v>
      </c>
      <c r="B13" s="1">
        <v>107</v>
      </c>
      <c r="C13" s="1">
        <v>468</v>
      </c>
      <c r="D13" s="3">
        <v>4.37</v>
      </c>
      <c r="E13" s="1">
        <v>36</v>
      </c>
      <c r="F13" s="3">
        <v>888.5</v>
      </c>
      <c r="G13" s="3">
        <v>849.52859999999998</v>
      </c>
      <c r="H13" s="3">
        <v>844.1</v>
      </c>
      <c r="I13" s="3">
        <v>840.5</v>
      </c>
      <c r="J13" s="3">
        <v>8.1267999999999994</v>
      </c>
      <c r="K13" s="4">
        <v>86.666700000000006</v>
      </c>
      <c r="L13" s="4">
        <v>80.492099999999994</v>
      </c>
      <c r="M13" s="4">
        <v>78.666700000000006</v>
      </c>
      <c r="N13" s="4">
        <v>76</v>
      </c>
      <c r="O13" s="4">
        <v>2.0781000000000001</v>
      </c>
      <c r="P13" s="8">
        <v>3.0762</v>
      </c>
      <c r="R13" t="str">
        <f t="shared" si="0"/>
        <v>스마트시스템공과대학</v>
      </c>
      <c r="S13">
        <f t="shared" si="1"/>
        <v>107</v>
      </c>
      <c r="T13">
        <f t="shared" si="2"/>
        <v>468</v>
      </c>
      <c r="U13" s="49">
        <f t="shared" si="3"/>
        <v>4.37</v>
      </c>
      <c r="V13">
        <f t="shared" si="4"/>
        <v>36</v>
      </c>
      <c r="W13">
        <v>1000</v>
      </c>
      <c r="X13" s="49">
        <f t="shared" si="5"/>
        <v>849.52859999999998</v>
      </c>
      <c r="Y13" s="49">
        <f t="shared" si="6"/>
        <v>8.1267999999999994</v>
      </c>
      <c r="Z13" s="49">
        <f t="shared" si="7"/>
        <v>840.5</v>
      </c>
      <c r="AC13" s="50">
        <f t="shared" si="8"/>
        <v>80.492099999999994</v>
      </c>
      <c r="AD13" s="50">
        <f t="shared" si="9"/>
        <v>2.0781000000000001</v>
      </c>
      <c r="AE13" s="50">
        <f t="shared" si="10"/>
        <v>76</v>
      </c>
      <c r="AH13" s="50">
        <f t="shared" si="11"/>
        <v>3.0762</v>
      </c>
    </row>
    <row r="14" spans="1:34" ht="24.95" customHeight="1" x14ac:dyDescent="0.15">
      <c r="A14" s="7" t="s">
        <v>12</v>
      </c>
      <c r="B14" s="1">
        <v>138</v>
      </c>
      <c r="C14" s="1">
        <v>473</v>
      </c>
      <c r="D14" s="3">
        <v>3.43</v>
      </c>
      <c r="E14" s="1">
        <v>55</v>
      </c>
      <c r="F14" s="3">
        <v>887.5</v>
      </c>
      <c r="G14" s="3">
        <v>858.08460000000002</v>
      </c>
      <c r="H14" s="3">
        <v>851.5</v>
      </c>
      <c r="I14" s="3">
        <v>840.5</v>
      </c>
      <c r="J14" s="3">
        <v>10.6957</v>
      </c>
      <c r="K14" s="4">
        <v>88</v>
      </c>
      <c r="L14" s="4">
        <v>81.517200000000003</v>
      </c>
      <c r="M14" s="4">
        <v>81.666700000000006</v>
      </c>
      <c r="N14" s="4">
        <v>75.333299999999994</v>
      </c>
      <c r="O14" s="4">
        <v>2.1934999999999998</v>
      </c>
      <c r="P14" s="8">
        <v>3.0882000000000001</v>
      </c>
      <c r="R14" t="str">
        <f t="shared" si="0"/>
        <v>반도체·ICT대학</v>
      </c>
      <c r="S14">
        <f t="shared" si="1"/>
        <v>138</v>
      </c>
      <c r="T14">
        <f t="shared" si="2"/>
        <v>473</v>
      </c>
      <c r="U14" s="49">
        <f t="shared" si="3"/>
        <v>3.43</v>
      </c>
      <c r="V14">
        <f t="shared" si="4"/>
        <v>55</v>
      </c>
      <c r="W14">
        <v>1000</v>
      </c>
      <c r="X14" s="49">
        <f t="shared" si="5"/>
        <v>858.08460000000002</v>
      </c>
      <c r="Y14" s="49">
        <f t="shared" si="6"/>
        <v>10.6957</v>
      </c>
      <c r="Z14" s="49">
        <f t="shared" si="7"/>
        <v>840.5</v>
      </c>
      <c r="AC14" s="50">
        <f t="shared" si="8"/>
        <v>81.517200000000003</v>
      </c>
      <c r="AD14" s="50">
        <f t="shared" si="9"/>
        <v>2.1934999999999998</v>
      </c>
      <c r="AE14" s="50">
        <f t="shared" si="10"/>
        <v>75.333299999999994</v>
      </c>
      <c r="AH14" s="50">
        <f t="shared" si="11"/>
        <v>3.0882000000000001</v>
      </c>
    </row>
    <row r="15" spans="1:34" ht="24.95" customHeight="1" x14ac:dyDescent="0.15">
      <c r="A15" s="7" t="s">
        <v>13</v>
      </c>
      <c r="B15" s="1">
        <v>9</v>
      </c>
      <c r="C15" s="1">
        <v>42</v>
      </c>
      <c r="D15" s="3">
        <v>4.67</v>
      </c>
      <c r="E15" s="1">
        <v>4</v>
      </c>
      <c r="F15" s="3">
        <v>895.1</v>
      </c>
      <c r="G15" s="3">
        <v>877.26250000000005</v>
      </c>
      <c r="H15" s="3">
        <v>873</v>
      </c>
      <c r="I15" s="3">
        <v>869.2</v>
      </c>
      <c r="J15" s="3">
        <v>8.1037999999999997</v>
      </c>
      <c r="K15" s="4">
        <v>87.333299999999994</v>
      </c>
      <c r="L15" s="4">
        <v>84.666700000000006</v>
      </c>
      <c r="M15" s="4">
        <v>85</v>
      </c>
      <c r="N15" s="4">
        <v>82.666700000000006</v>
      </c>
      <c r="O15" s="4">
        <v>1.8602000000000001</v>
      </c>
      <c r="P15" s="8">
        <v>3</v>
      </c>
      <c r="R15" t="str">
        <f t="shared" si="0"/>
        <v>건축대학</v>
      </c>
      <c r="S15">
        <f t="shared" si="1"/>
        <v>9</v>
      </c>
      <c r="T15">
        <f t="shared" si="2"/>
        <v>42</v>
      </c>
      <c r="U15" s="49">
        <f t="shared" si="3"/>
        <v>4.67</v>
      </c>
      <c r="V15">
        <f t="shared" si="4"/>
        <v>4</v>
      </c>
      <c r="W15">
        <v>1000</v>
      </c>
      <c r="X15" s="49">
        <f t="shared" si="5"/>
        <v>877.26250000000005</v>
      </c>
      <c r="Y15" s="49">
        <f t="shared" si="6"/>
        <v>8.1037999999999997</v>
      </c>
      <c r="Z15" s="49">
        <f t="shared" si="7"/>
        <v>869.2</v>
      </c>
      <c r="AC15" s="50">
        <f t="shared" si="8"/>
        <v>84.666700000000006</v>
      </c>
      <c r="AD15" s="50">
        <f t="shared" si="9"/>
        <v>1.8602000000000001</v>
      </c>
      <c r="AE15" s="50">
        <f t="shared" si="10"/>
        <v>82.666700000000006</v>
      </c>
      <c r="AH15" s="50">
        <f t="shared" si="11"/>
        <v>3</v>
      </c>
    </row>
    <row r="16" spans="1:34" ht="24.95" customHeight="1" thickBot="1" x14ac:dyDescent="0.2">
      <c r="A16" s="9" t="s">
        <v>14</v>
      </c>
      <c r="B16" s="10">
        <v>73</v>
      </c>
      <c r="C16" s="10">
        <v>434</v>
      </c>
      <c r="D16" s="11">
        <v>5.95</v>
      </c>
      <c r="E16" s="10">
        <v>78</v>
      </c>
      <c r="F16" s="11">
        <v>899.3</v>
      </c>
      <c r="G16" s="11">
        <v>865.95069999999998</v>
      </c>
      <c r="H16" s="11">
        <v>859.8</v>
      </c>
      <c r="I16" s="11">
        <v>855.7</v>
      </c>
      <c r="J16" s="11">
        <v>9.702</v>
      </c>
      <c r="K16" s="12">
        <v>89</v>
      </c>
      <c r="L16" s="12">
        <v>82.112700000000004</v>
      </c>
      <c r="M16" s="12">
        <v>79</v>
      </c>
      <c r="N16" s="12">
        <v>78.333299999999994</v>
      </c>
      <c r="O16" s="12">
        <v>2.2837999999999998</v>
      </c>
      <c r="P16" s="13">
        <v>3.1267999999999998</v>
      </c>
      <c r="R16" t="str">
        <f t="shared" si="0"/>
        <v>자율전공학부(자연)</v>
      </c>
      <c r="S16">
        <f t="shared" si="1"/>
        <v>73</v>
      </c>
      <c r="T16">
        <f t="shared" si="2"/>
        <v>434</v>
      </c>
      <c r="U16" s="49">
        <f t="shared" si="3"/>
        <v>5.95</v>
      </c>
      <c r="V16">
        <f t="shared" si="4"/>
        <v>78</v>
      </c>
      <c r="W16">
        <v>1000</v>
      </c>
      <c r="X16" s="49">
        <f t="shared" si="5"/>
        <v>865.95069999999998</v>
      </c>
      <c r="Y16" s="49">
        <f t="shared" si="6"/>
        <v>9.702</v>
      </c>
      <c r="Z16" s="49">
        <f t="shared" si="7"/>
        <v>855.7</v>
      </c>
      <c r="AC16" s="50">
        <f t="shared" si="8"/>
        <v>82.112700000000004</v>
      </c>
      <c r="AD16" s="50">
        <f t="shared" si="9"/>
        <v>2.2837999999999998</v>
      </c>
      <c r="AE16" s="50">
        <f t="shared" si="10"/>
        <v>78.333299999999994</v>
      </c>
      <c r="AH16" s="50">
        <f t="shared" si="11"/>
        <v>3.1267999999999998</v>
      </c>
    </row>
    <row r="17" spans="1:43" ht="173.25" customHeight="1" x14ac:dyDescent="0.15">
      <c r="A17" s="28" t="s">
        <v>41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R17" t="str">
        <f t="shared" si="0"/>
        <v>▶ 수능성적 산출방법 [활용지표: 백분위]
1. 인문사회계열(경영대학 외) : 인문대학, 사회과학대학, 미디어·휴먼라이프대학, 자율전공학부(인문)
= (국어x3.5)+(수학x2.5)+(영어등급별환산점수x2)+(탐구상위1과목x2)
2. 인문사회계열(경영대학) : 경영대학
= (국어x3)+(수학x3)+(영어등급별환산점수x2)+(탐구상위1과목x2)
3. 자연공학계열 : 인공지능·소프트웨어융합대학, 화학·생명과학대학, 스마트시스템공과대학, 반도체·ICT대학, 건축대학, 자율전공학부(자연)
= (국어x2.5)+(수학x3.5)+(영어등급별환산점수x2)+(탐구상위1과목x2))
   ※ 과학탐구 선택 시 취득 백분위 반영점수의 10% 가산점 부여
▶ 수능성적 백분위평균 : 최종등록자 기준의 국어, 수학, 탐구 상위 1과목의 단순 평균값(영어 등급 제외)
▶ 70%cut의 성적은 최종등록인원 기준 70% 순위(소수첫째자리 올림처리)에 해당하는 등록자의 성적임</v>
      </c>
      <c r="S17">
        <f t="shared" si="1"/>
        <v>0</v>
      </c>
      <c r="T17">
        <f t="shared" si="2"/>
        <v>0</v>
      </c>
      <c r="U17" s="49">
        <f t="shared" si="3"/>
        <v>0</v>
      </c>
      <c r="V17">
        <f t="shared" si="4"/>
        <v>0</v>
      </c>
      <c r="X17" s="49">
        <f t="shared" si="5"/>
        <v>0</v>
      </c>
      <c r="Y17" s="49">
        <f t="shared" si="6"/>
        <v>0</v>
      </c>
      <c r="Z17" s="49">
        <f t="shared" si="7"/>
        <v>0</v>
      </c>
      <c r="AC17" t="str">
        <f>""</f>
        <v/>
      </c>
      <c r="AD17" t="str">
        <f>""</f>
        <v/>
      </c>
      <c r="AE17" t="str">
        <f>""</f>
        <v/>
      </c>
      <c r="AF17" t="str">
        <f>""</f>
        <v/>
      </c>
      <c r="AG17" t="str">
        <f>""</f>
        <v/>
      </c>
      <c r="AH17" t="str">
        <f>""</f>
        <v/>
      </c>
      <c r="AI17" t="str">
        <f>""</f>
        <v/>
      </c>
      <c r="AJ17" t="str">
        <f>""</f>
        <v/>
      </c>
      <c r="AK17" t="str">
        <f>""</f>
        <v/>
      </c>
      <c r="AL17" t="str">
        <f>""</f>
        <v/>
      </c>
      <c r="AM17" t="str">
        <f>""</f>
        <v/>
      </c>
      <c r="AN17" t="str">
        <f>""</f>
        <v/>
      </c>
      <c r="AO17" t="str">
        <f>""</f>
        <v/>
      </c>
      <c r="AP17" t="str">
        <f>""</f>
        <v/>
      </c>
      <c r="AQ17" t="str">
        <f>""</f>
        <v/>
      </c>
    </row>
    <row r="18" spans="1:43" ht="18" customHeight="1" thickBot="1" x14ac:dyDescent="0.2">
      <c r="AC18" t="str">
        <f>""</f>
        <v/>
      </c>
      <c r="AD18" t="str">
        <f>""</f>
        <v/>
      </c>
      <c r="AE18" t="str">
        <f>""</f>
        <v/>
      </c>
      <c r="AF18" t="str">
        <f>""</f>
        <v/>
      </c>
      <c r="AG18" t="str">
        <f>""</f>
        <v/>
      </c>
      <c r="AH18" t="str">
        <f>""</f>
        <v/>
      </c>
      <c r="AI18" t="str">
        <f>""</f>
        <v/>
      </c>
      <c r="AJ18" t="str">
        <f>""</f>
        <v/>
      </c>
      <c r="AK18" t="str">
        <f>""</f>
        <v/>
      </c>
      <c r="AL18" t="str">
        <f>""</f>
        <v/>
      </c>
      <c r="AM18" t="str">
        <f>""</f>
        <v/>
      </c>
      <c r="AN18" t="str">
        <f>""</f>
        <v/>
      </c>
      <c r="AO18" t="str">
        <f>""</f>
        <v/>
      </c>
      <c r="AP18" t="str">
        <f>""</f>
        <v/>
      </c>
      <c r="AQ18" t="str">
        <f>""</f>
        <v/>
      </c>
    </row>
    <row r="19" spans="1:43" ht="18" customHeight="1" x14ac:dyDescent="0.15">
      <c r="A19" s="37" t="s">
        <v>42</v>
      </c>
      <c r="B19" s="39" t="s">
        <v>1</v>
      </c>
      <c r="C19" s="39" t="s">
        <v>43</v>
      </c>
      <c r="D19" s="39" t="s">
        <v>3</v>
      </c>
      <c r="E19" s="39" t="s">
        <v>44</v>
      </c>
      <c r="F19" s="39" t="s">
        <v>29</v>
      </c>
      <c r="G19" s="39"/>
      <c r="H19" s="39"/>
      <c r="I19" s="39"/>
      <c r="J19" s="41"/>
      <c r="AC19" t="str">
        <f>""</f>
        <v/>
      </c>
      <c r="AD19" t="str">
        <f>""</f>
        <v/>
      </c>
      <c r="AE19" t="str">
        <f>""</f>
        <v/>
      </c>
      <c r="AF19" t="str">
        <f>""</f>
        <v/>
      </c>
      <c r="AG19" t="str">
        <f>""</f>
        <v/>
      </c>
      <c r="AH19" t="str">
        <f>""</f>
        <v/>
      </c>
      <c r="AI19" t="str">
        <f>""</f>
        <v/>
      </c>
      <c r="AJ19" t="str">
        <f>""</f>
        <v/>
      </c>
      <c r="AK19" t="str">
        <f>""</f>
        <v/>
      </c>
      <c r="AL19" t="str">
        <f>""</f>
        <v/>
      </c>
      <c r="AM19" t="str">
        <f>""</f>
        <v/>
      </c>
      <c r="AN19" t="str">
        <f>""</f>
        <v/>
      </c>
      <c r="AO19" t="str">
        <f>""</f>
        <v/>
      </c>
      <c r="AP19" t="str">
        <f>""</f>
        <v/>
      </c>
      <c r="AQ19" t="str">
        <f>""</f>
        <v/>
      </c>
    </row>
    <row r="20" spans="1:43" ht="18" customHeight="1" x14ac:dyDescent="0.15">
      <c r="A20" s="38"/>
      <c r="B20" s="40"/>
      <c r="C20" s="40"/>
      <c r="D20" s="40"/>
      <c r="E20" s="40"/>
      <c r="F20" s="40" t="s">
        <v>45</v>
      </c>
      <c r="G20" s="40"/>
      <c r="H20" s="40"/>
      <c r="I20" s="40"/>
      <c r="J20" s="42"/>
      <c r="AC20" t="str">
        <f>""</f>
        <v/>
      </c>
      <c r="AD20" t="str">
        <f>""</f>
        <v/>
      </c>
      <c r="AE20" t="str">
        <f>""</f>
        <v/>
      </c>
      <c r="AF20" t="str">
        <f>""</f>
        <v/>
      </c>
      <c r="AG20" t="str">
        <f>""</f>
        <v/>
      </c>
      <c r="AH20" t="str">
        <f>""</f>
        <v/>
      </c>
      <c r="AI20" t="str">
        <f>""</f>
        <v/>
      </c>
      <c r="AJ20" t="str">
        <f>""</f>
        <v/>
      </c>
      <c r="AK20" t="str">
        <f>""</f>
        <v/>
      </c>
      <c r="AL20" t="str">
        <f>""</f>
        <v/>
      </c>
      <c r="AM20" t="str">
        <f>""</f>
        <v/>
      </c>
      <c r="AN20" t="str">
        <f>""</f>
        <v/>
      </c>
      <c r="AO20" t="str">
        <f>""</f>
        <v/>
      </c>
      <c r="AP20" t="str">
        <f>""</f>
        <v/>
      </c>
      <c r="AQ20" t="str">
        <f>""</f>
        <v/>
      </c>
    </row>
    <row r="21" spans="1:43" ht="18" customHeight="1" x14ac:dyDescent="0.15">
      <c r="A21" s="38"/>
      <c r="B21" s="40"/>
      <c r="C21" s="40"/>
      <c r="D21" s="40"/>
      <c r="E21" s="40"/>
      <c r="F21" s="23" t="s">
        <v>31</v>
      </c>
      <c r="G21" s="23" t="s">
        <v>32</v>
      </c>
      <c r="H21" s="23" t="s">
        <v>33</v>
      </c>
      <c r="I21" s="23" t="s">
        <v>34</v>
      </c>
      <c r="J21" s="24" t="s">
        <v>35</v>
      </c>
      <c r="AC21" t="str">
        <f>""</f>
        <v/>
      </c>
      <c r="AD21" t="str">
        <f>""</f>
        <v/>
      </c>
      <c r="AE21" t="str">
        <f>""</f>
        <v/>
      </c>
      <c r="AF21" t="str">
        <f>""</f>
        <v/>
      </c>
      <c r="AG21" t="str">
        <f>""</f>
        <v/>
      </c>
      <c r="AH21" t="str">
        <f>""</f>
        <v/>
      </c>
      <c r="AI21" t="str">
        <f>""</f>
        <v/>
      </c>
      <c r="AJ21" t="str">
        <f>""</f>
        <v/>
      </c>
      <c r="AK21" t="str">
        <f>""</f>
        <v/>
      </c>
      <c r="AL21" t="str">
        <f>""</f>
        <v/>
      </c>
      <c r="AM21" t="str">
        <f>""</f>
        <v/>
      </c>
      <c r="AN21" t="str">
        <f>""</f>
        <v/>
      </c>
      <c r="AO21" t="str">
        <f>""</f>
        <v/>
      </c>
      <c r="AP21" t="str">
        <f>""</f>
        <v/>
      </c>
      <c r="AQ21" t="str">
        <f>""</f>
        <v/>
      </c>
    </row>
    <row r="22" spans="1:43" ht="18" customHeight="1" x14ac:dyDescent="0.15">
      <c r="A22" s="7" t="s">
        <v>15</v>
      </c>
      <c r="B22" s="1">
        <v>3</v>
      </c>
      <c r="C22" s="1">
        <v>51</v>
      </c>
      <c r="D22" s="3">
        <v>17</v>
      </c>
      <c r="E22" s="1">
        <v>1</v>
      </c>
      <c r="F22" s="3">
        <v>577.20000000000005</v>
      </c>
      <c r="G22" s="3">
        <v>537.5</v>
      </c>
      <c r="H22" s="3">
        <v>539.4</v>
      </c>
      <c r="I22" s="3">
        <v>495.9</v>
      </c>
      <c r="J22" s="18">
        <v>40.683300000000003</v>
      </c>
      <c r="R22" t="str">
        <f t="shared" ref="R22" si="12">A22</f>
        <v>문예창작학과 운문</v>
      </c>
      <c r="S22">
        <f t="shared" ref="S22" si="13">B22</f>
        <v>3</v>
      </c>
      <c r="T22">
        <f t="shared" ref="T22" si="14">C22</f>
        <v>51</v>
      </c>
      <c r="U22" s="49">
        <f t="shared" ref="U22" si="15">D22</f>
        <v>17</v>
      </c>
      <c r="V22">
        <f t="shared" ref="V22" si="16">E22</f>
        <v>1</v>
      </c>
      <c r="W22">
        <v>600</v>
      </c>
      <c r="X22" s="49">
        <f t="shared" ref="X22" si="17">G22</f>
        <v>537.5</v>
      </c>
      <c r="Y22" s="49">
        <f t="shared" ref="Y22" si="18">J22</f>
        <v>40.683300000000003</v>
      </c>
      <c r="Z22" s="49">
        <f t="shared" ref="Z22" si="19">I22</f>
        <v>495.9</v>
      </c>
      <c r="AC22" t="str">
        <f>""</f>
        <v/>
      </c>
      <c r="AD22" t="str">
        <f>""</f>
        <v/>
      </c>
      <c r="AE22" t="str">
        <f>""</f>
        <v/>
      </c>
      <c r="AF22" t="str">
        <f>""</f>
        <v/>
      </c>
      <c r="AG22" t="str">
        <f>""</f>
        <v/>
      </c>
      <c r="AH22" t="str">
        <f>""</f>
        <v/>
      </c>
      <c r="AI22" t="str">
        <f>""</f>
        <v/>
      </c>
      <c r="AJ22" t="str">
        <f>""</f>
        <v/>
      </c>
      <c r="AK22" t="str">
        <f>""</f>
        <v/>
      </c>
      <c r="AL22" t="str">
        <f>""</f>
        <v/>
      </c>
      <c r="AM22" t="str">
        <f>""</f>
        <v/>
      </c>
      <c r="AN22" t="str">
        <f>""</f>
        <v/>
      </c>
      <c r="AO22" t="str">
        <f>""</f>
        <v/>
      </c>
      <c r="AP22" t="str">
        <f>""</f>
        <v/>
      </c>
      <c r="AQ22" t="str">
        <f>""</f>
        <v/>
      </c>
    </row>
    <row r="23" spans="1:43" ht="18" customHeight="1" x14ac:dyDescent="0.15">
      <c r="A23" s="7" t="s">
        <v>16</v>
      </c>
      <c r="B23" s="1">
        <v>5</v>
      </c>
      <c r="C23" s="1">
        <v>98</v>
      </c>
      <c r="D23" s="3">
        <v>19.600000000000001</v>
      </c>
      <c r="E23" s="1" t="s">
        <v>28</v>
      </c>
      <c r="F23" s="3">
        <v>584.4</v>
      </c>
      <c r="G23" s="3">
        <v>530.58000000000004</v>
      </c>
      <c r="H23" s="3">
        <v>502.8</v>
      </c>
      <c r="I23" s="3">
        <v>444</v>
      </c>
      <c r="J23" s="18">
        <v>57.1843</v>
      </c>
      <c r="R23" t="str">
        <f t="shared" ref="R23:R29" si="20">A23</f>
        <v>문예창작학과 산문</v>
      </c>
      <c r="S23">
        <f t="shared" ref="S23:S29" si="21">B23</f>
        <v>5</v>
      </c>
      <c r="T23">
        <f t="shared" ref="T23:T29" si="22">C23</f>
        <v>98</v>
      </c>
      <c r="U23" s="49">
        <f t="shared" ref="U23:U29" si="23">D23</f>
        <v>19.600000000000001</v>
      </c>
      <c r="V23">
        <v>0</v>
      </c>
      <c r="W23">
        <v>600</v>
      </c>
      <c r="X23" s="49">
        <f t="shared" ref="X23:X29" si="24">G23</f>
        <v>530.58000000000004</v>
      </c>
      <c r="Y23" s="49">
        <f t="shared" ref="Y23:Y29" si="25">J23</f>
        <v>57.1843</v>
      </c>
      <c r="Z23" s="49">
        <f t="shared" ref="Z23:Z29" si="26">I23</f>
        <v>444</v>
      </c>
      <c r="AC23" t="str">
        <f>""</f>
        <v/>
      </c>
      <c r="AD23" t="str">
        <f>""</f>
        <v/>
      </c>
      <c r="AE23" t="str">
        <f>""</f>
        <v/>
      </c>
      <c r="AF23" t="str">
        <f>""</f>
        <v/>
      </c>
      <c r="AG23" t="str">
        <f>""</f>
        <v/>
      </c>
      <c r="AH23" t="str">
        <f>""</f>
        <v/>
      </c>
      <c r="AI23" t="str">
        <f>""</f>
        <v/>
      </c>
      <c r="AJ23" t="str">
        <f>""</f>
        <v/>
      </c>
      <c r="AK23" t="str">
        <f>""</f>
        <v/>
      </c>
      <c r="AL23" t="str">
        <f>""</f>
        <v/>
      </c>
      <c r="AM23" t="str">
        <f>""</f>
        <v/>
      </c>
      <c r="AN23" t="str">
        <f>""</f>
        <v/>
      </c>
      <c r="AO23" t="str">
        <f>""</f>
        <v/>
      </c>
      <c r="AP23" t="str">
        <f>""</f>
        <v/>
      </c>
      <c r="AQ23" t="str">
        <f>""</f>
        <v/>
      </c>
    </row>
    <row r="24" spans="1:43" ht="18" customHeight="1" x14ac:dyDescent="0.15">
      <c r="A24" s="7" t="s">
        <v>17</v>
      </c>
      <c r="B24" s="1">
        <v>8</v>
      </c>
      <c r="C24" s="1">
        <v>71</v>
      </c>
      <c r="D24" s="3">
        <v>8.8800000000000008</v>
      </c>
      <c r="E24" s="1">
        <v>2</v>
      </c>
      <c r="F24" s="3">
        <v>550.79999999999995</v>
      </c>
      <c r="G24" s="3">
        <v>533.85</v>
      </c>
      <c r="H24" s="3">
        <v>534.9</v>
      </c>
      <c r="I24" s="3">
        <v>515.70000000000005</v>
      </c>
      <c r="J24" s="18">
        <v>10.667</v>
      </c>
      <c r="R24" t="str">
        <f t="shared" si="20"/>
        <v>디지털콘텐츠디자인학과</v>
      </c>
      <c r="S24">
        <f t="shared" si="21"/>
        <v>8</v>
      </c>
      <c r="T24">
        <f t="shared" si="22"/>
        <v>71</v>
      </c>
      <c r="U24" s="49">
        <f t="shared" si="23"/>
        <v>8.8800000000000008</v>
      </c>
      <c r="V24">
        <f t="shared" ref="V23:V29" si="27">E24</f>
        <v>2</v>
      </c>
      <c r="W24">
        <v>600</v>
      </c>
      <c r="X24" s="49">
        <f t="shared" si="24"/>
        <v>533.85</v>
      </c>
      <c r="Y24" s="49">
        <f t="shared" si="25"/>
        <v>10.667</v>
      </c>
      <c r="Z24" s="49">
        <f t="shared" si="26"/>
        <v>515.70000000000005</v>
      </c>
      <c r="AC24" t="str">
        <f>""</f>
        <v/>
      </c>
      <c r="AD24" t="str">
        <f>""</f>
        <v/>
      </c>
      <c r="AE24" t="str">
        <f>""</f>
        <v/>
      </c>
      <c r="AF24" t="str">
        <f>""</f>
        <v/>
      </c>
      <c r="AG24" t="str">
        <f>""</f>
        <v/>
      </c>
      <c r="AH24" t="str">
        <f>""</f>
        <v/>
      </c>
      <c r="AI24" t="str">
        <f>""</f>
        <v/>
      </c>
      <c r="AJ24" t="str">
        <f>""</f>
        <v/>
      </c>
      <c r="AK24" t="str">
        <f>""</f>
        <v/>
      </c>
      <c r="AL24" t="str">
        <f>""</f>
        <v/>
      </c>
      <c r="AM24" t="str">
        <f>""</f>
        <v/>
      </c>
      <c r="AN24" t="str">
        <f>""</f>
        <v/>
      </c>
      <c r="AO24" t="str">
        <f>""</f>
        <v/>
      </c>
      <c r="AP24" t="str">
        <f>""</f>
        <v/>
      </c>
      <c r="AQ24" t="str">
        <f>""</f>
        <v/>
      </c>
    </row>
    <row r="25" spans="1:43" ht="18" customHeight="1" x14ac:dyDescent="0.15">
      <c r="A25" s="7" t="s">
        <v>18</v>
      </c>
      <c r="B25" s="1">
        <v>10</v>
      </c>
      <c r="C25" s="1">
        <v>74</v>
      </c>
      <c r="D25" s="3">
        <v>7.4</v>
      </c>
      <c r="E25" s="1">
        <v>6</v>
      </c>
      <c r="F25" s="3">
        <v>549</v>
      </c>
      <c r="G25" s="3">
        <v>513.6</v>
      </c>
      <c r="H25" s="3">
        <v>537</v>
      </c>
      <c r="I25" s="3">
        <v>450</v>
      </c>
      <c r="J25" s="18">
        <v>35.911000000000001</v>
      </c>
      <c r="R25" t="str">
        <f t="shared" si="20"/>
        <v>영상애니메이션디자인전공</v>
      </c>
      <c r="S25">
        <f t="shared" si="21"/>
        <v>10</v>
      </c>
      <c r="T25">
        <f t="shared" si="22"/>
        <v>74</v>
      </c>
      <c r="U25" s="49">
        <f t="shared" si="23"/>
        <v>7.4</v>
      </c>
      <c r="V25">
        <f t="shared" si="27"/>
        <v>6</v>
      </c>
      <c r="W25">
        <v>600</v>
      </c>
      <c r="X25" s="49">
        <f t="shared" si="24"/>
        <v>513.6</v>
      </c>
      <c r="Y25" s="49">
        <f t="shared" si="25"/>
        <v>35.911000000000001</v>
      </c>
      <c r="Z25" s="49">
        <f t="shared" si="26"/>
        <v>450</v>
      </c>
      <c r="AC25" t="str">
        <f>""</f>
        <v/>
      </c>
      <c r="AD25" t="str">
        <f>""</f>
        <v/>
      </c>
      <c r="AE25" t="str">
        <f>""</f>
        <v/>
      </c>
      <c r="AF25" t="str">
        <f>""</f>
        <v/>
      </c>
      <c r="AG25" t="str">
        <f>""</f>
        <v/>
      </c>
      <c r="AH25" t="str">
        <f>""</f>
        <v/>
      </c>
      <c r="AI25" t="str">
        <f>""</f>
        <v/>
      </c>
      <c r="AJ25" t="str">
        <f>""</f>
        <v/>
      </c>
      <c r="AK25" t="str">
        <f>""</f>
        <v/>
      </c>
      <c r="AL25" t="str">
        <f>""</f>
        <v/>
      </c>
      <c r="AM25" t="str">
        <f>""</f>
        <v/>
      </c>
      <c r="AN25" t="str">
        <f>""</f>
        <v/>
      </c>
      <c r="AO25" t="str">
        <f>""</f>
        <v/>
      </c>
      <c r="AP25" t="str">
        <f>""</f>
        <v/>
      </c>
      <c r="AQ25" t="str">
        <f>""</f>
        <v/>
      </c>
    </row>
    <row r="26" spans="1:43" ht="18" customHeight="1" x14ac:dyDescent="0.15">
      <c r="A26" s="7" t="s">
        <v>19</v>
      </c>
      <c r="B26" s="1">
        <v>38</v>
      </c>
      <c r="C26" s="1">
        <v>617</v>
      </c>
      <c r="D26" s="3">
        <v>16.239999999999998</v>
      </c>
      <c r="E26" s="1">
        <v>15</v>
      </c>
      <c r="F26" s="3">
        <v>552</v>
      </c>
      <c r="G26" s="3">
        <v>508.3947</v>
      </c>
      <c r="H26" s="3">
        <v>524</v>
      </c>
      <c r="I26" s="3">
        <v>458</v>
      </c>
      <c r="J26" s="18">
        <v>24.204699999999999</v>
      </c>
      <c r="R26" s="51" t="s">
        <v>54</v>
      </c>
      <c r="S26">
        <f t="shared" si="21"/>
        <v>38</v>
      </c>
      <c r="T26">
        <f t="shared" si="22"/>
        <v>617</v>
      </c>
      <c r="U26" s="49">
        <f t="shared" si="23"/>
        <v>16.239999999999998</v>
      </c>
      <c r="V26">
        <f t="shared" si="27"/>
        <v>15</v>
      </c>
      <c r="W26">
        <v>600</v>
      </c>
      <c r="X26" s="49">
        <f t="shared" si="24"/>
        <v>508.3947</v>
      </c>
      <c r="Y26" s="49">
        <f t="shared" si="25"/>
        <v>24.204699999999999</v>
      </c>
      <c r="Z26" s="49">
        <f t="shared" si="26"/>
        <v>458</v>
      </c>
      <c r="AC26" t="str">
        <f>""</f>
        <v/>
      </c>
      <c r="AD26" t="str">
        <f>""</f>
        <v/>
      </c>
      <c r="AE26" t="str">
        <f>""</f>
        <v/>
      </c>
      <c r="AF26" t="str">
        <f>""</f>
        <v/>
      </c>
      <c r="AG26" t="str">
        <f>""</f>
        <v/>
      </c>
      <c r="AH26" t="str">
        <f>""</f>
        <v/>
      </c>
      <c r="AI26" t="str">
        <f>""</f>
        <v/>
      </c>
      <c r="AJ26" t="str">
        <f>""</f>
        <v/>
      </c>
      <c r="AK26" t="str">
        <f>""</f>
        <v/>
      </c>
      <c r="AL26" t="str">
        <f>""</f>
        <v/>
      </c>
      <c r="AM26" t="str">
        <f>""</f>
        <v/>
      </c>
      <c r="AN26" t="str">
        <f>""</f>
        <v/>
      </c>
      <c r="AO26" t="str">
        <f>""</f>
        <v/>
      </c>
      <c r="AP26" t="str">
        <f>""</f>
        <v/>
      </c>
      <c r="AQ26" t="str">
        <f>""</f>
        <v/>
      </c>
    </row>
    <row r="27" spans="1:43" ht="18" customHeight="1" x14ac:dyDescent="0.15">
      <c r="A27" s="7" t="s">
        <v>20</v>
      </c>
      <c r="B27" s="1">
        <v>6</v>
      </c>
      <c r="C27" s="1">
        <v>86</v>
      </c>
      <c r="D27" s="3">
        <v>14.33</v>
      </c>
      <c r="E27" s="1">
        <v>3</v>
      </c>
      <c r="F27" s="3">
        <v>564</v>
      </c>
      <c r="G27" s="3">
        <v>520.79999999999995</v>
      </c>
      <c r="H27" s="3">
        <v>543</v>
      </c>
      <c r="I27" s="3">
        <v>480</v>
      </c>
      <c r="J27" s="18">
        <v>36.533499999999997</v>
      </c>
      <c r="R27" s="51" t="s">
        <v>52</v>
      </c>
      <c r="S27">
        <f t="shared" si="21"/>
        <v>6</v>
      </c>
      <c r="T27">
        <f t="shared" si="22"/>
        <v>86</v>
      </c>
      <c r="U27" s="49">
        <f t="shared" si="23"/>
        <v>14.33</v>
      </c>
      <c r="V27">
        <f t="shared" si="27"/>
        <v>3</v>
      </c>
      <c r="W27">
        <v>600</v>
      </c>
      <c r="X27" s="49">
        <f t="shared" si="24"/>
        <v>520.79999999999995</v>
      </c>
      <c r="Y27" s="49">
        <f t="shared" si="25"/>
        <v>36.533499999999997</v>
      </c>
      <c r="Z27" s="49">
        <f t="shared" si="26"/>
        <v>480</v>
      </c>
      <c r="AC27" t="str">
        <f>""</f>
        <v/>
      </c>
      <c r="AD27" t="str">
        <f>""</f>
        <v/>
      </c>
      <c r="AE27" t="str">
        <f>""</f>
        <v/>
      </c>
      <c r="AF27" t="str">
        <f>""</f>
        <v/>
      </c>
      <c r="AG27" t="str">
        <f>""</f>
        <v/>
      </c>
      <c r="AH27" t="str">
        <f>""</f>
        <v/>
      </c>
      <c r="AI27" t="str">
        <f>""</f>
        <v/>
      </c>
      <c r="AJ27" t="str">
        <f>""</f>
        <v/>
      </c>
      <c r="AK27" t="str">
        <f>""</f>
        <v/>
      </c>
      <c r="AL27" t="str">
        <f>""</f>
        <v/>
      </c>
      <c r="AM27" t="str">
        <f>""</f>
        <v/>
      </c>
      <c r="AN27" t="str">
        <f>""</f>
        <v/>
      </c>
      <c r="AO27" t="str">
        <f>""</f>
        <v/>
      </c>
      <c r="AP27" t="str">
        <f>""</f>
        <v/>
      </c>
      <c r="AQ27" t="str">
        <f>""</f>
        <v/>
      </c>
    </row>
    <row r="28" spans="1:43" ht="18" customHeight="1" x14ac:dyDescent="0.15">
      <c r="A28" s="7" t="s">
        <v>21</v>
      </c>
      <c r="B28" s="1">
        <v>12</v>
      </c>
      <c r="C28" s="1">
        <v>125</v>
      </c>
      <c r="D28" s="3">
        <v>10.42</v>
      </c>
      <c r="E28" s="1">
        <v>4</v>
      </c>
      <c r="F28" s="3">
        <v>585</v>
      </c>
      <c r="G28" s="3">
        <v>531</v>
      </c>
      <c r="H28" s="3">
        <v>504</v>
      </c>
      <c r="I28" s="3">
        <v>456</v>
      </c>
      <c r="J28" s="18">
        <v>34.585900000000002</v>
      </c>
      <c r="R28" s="51" t="s">
        <v>53</v>
      </c>
      <c r="S28">
        <f t="shared" si="21"/>
        <v>12</v>
      </c>
      <c r="T28">
        <f t="shared" si="22"/>
        <v>125</v>
      </c>
      <c r="U28" s="49">
        <f t="shared" si="23"/>
        <v>10.42</v>
      </c>
      <c r="V28">
        <f t="shared" si="27"/>
        <v>4</v>
      </c>
      <c r="W28">
        <v>600</v>
      </c>
      <c r="X28" s="49">
        <f t="shared" si="24"/>
        <v>531</v>
      </c>
      <c r="Y28" s="49">
        <f t="shared" si="25"/>
        <v>34.585900000000002</v>
      </c>
      <c r="Z28" s="49">
        <f t="shared" si="26"/>
        <v>456</v>
      </c>
      <c r="AC28" t="str">
        <f>""</f>
        <v/>
      </c>
      <c r="AD28" t="str">
        <f>""</f>
        <v/>
      </c>
      <c r="AE28" t="str">
        <f>""</f>
        <v/>
      </c>
      <c r="AF28" t="str">
        <f>""</f>
        <v/>
      </c>
      <c r="AG28" t="str">
        <f>""</f>
        <v/>
      </c>
      <c r="AH28" t="str">
        <f>""</f>
        <v/>
      </c>
      <c r="AI28" t="str">
        <f>""</f>
        <v/>
      </c>
      <c r="AJ28" t="str">
        <f>""</f>
        <v/>
      </c>
      <c r="AK28" t="str">
        <f>""</f>
        <v/>
      </c>
      <c r="AL28" t="str">
        <f>""</f>
        <v/>
      </c>
      <c r="AM28" t="str">
        <f>""</f>
        <v/>
      </c>
      <c r="AN28" t="str">
        <f>""</f>
        <v/>
      </c>
      <c r="AO28" t="str">
        <f>""</f>
        <v/>
      </c>
      <c r="AP28" t="str">
        <f>""</f>
        <v/>
      </c>
      <c r="AQ28" t="str">
        <f>""</f>
        <v/>
      </c>
    </row>
    <row r="29" spans="1:43" ht="18" customHeight="1" thickBot="1" x14ac:dyDescent="0.2">
      <c r="A29" s="9" t="s">
        <v>22</v>
      </c>
      <c r="B29" s="10">
        <v>10</v>
      </c>
      <c r="C29" s="10">
        <v>55</v>
      </c>
      <c r="D29" s="11">
        <v>5.5</v>
      </c>
      <c r="E29" s="10" t="s">
        <v>28</v>
      </c>
      <c r="F29" s="11">
        <v>547.79999999999995</v>
      </c>
      <c r="G29" s="11">
        <v>523.98</v>
      </c>
      <c r="H29" s="11">
        <v>510.6</v>
      </c>
      <c r="I29" s="11">
        <v>495.9</v>
      </c>
      <c r="J29" s="19">
        <v>18.6313</v>
      </c>
      <c r="R29" t="str">
        <f>A29&amp;"(실기)"</f>
        <v>건축학전공(실기)</v>
      </c>
      <c r="S29">
        <f t="shared" si="21"/>
        <v>10</v>
      </c>
      <c r="T29">
        <f t="shared" si="22"/>
        <v>55</v>
      </c>
      <c r="U29" s="49">
        <f t="shared" si="23"/>
        <v>5.5</v>
      </c>
      <c r="V29">
        <v>0</v>
      </c>
      <c r="W29">
        <v>600</v>
      </c>
      <c r="X29" s="49">
        <f t="shared" si="24"/>
        <v>523.98</v>
      </c>
      <c r="Y29" s="49">
        <f t="shared" si="25"/>
        <v>18.6313</v>
      </c>
      <c r="Z29" s="49">
        <f t="shared" si="26"/>
        <v>495.9</v>
      </c>
      <c r="AC29" t="str">
        <f>""</f>
        <v/>
      </c>
      <c r="AD29" t="str">
        <f>""</f>
        <v/>
      </c>
      <c r="AE29" t="str">
        <f>""</f>
        <v/>
      </c>
      <c r="AF29" t="str">
        <f>""</f>
        <v/>
      </c>
      <c r="AG29" t="str">
        <f>""</f>
        <v/>
      </c>
      <c r="AH29" t="str">
        <f>""</f>
        <v/>
      </c>
      <c r="AI29" t="str">
        <f>""</f>
        <v/>
      </c>
      <c r="AJ29" t="str">
        <f>""</f>
        <v/>
      </c>
      <c r="AK29" t="str">
        <f>""</f>
        <v/>
      </c>
      <c r="AL29" t="str">
        <f>""</f>
        <v/>
      </c>
      <c r="AM29" t="str">
        <f>""</f>
        <v/>
      </c>
      <c r="AN29" t="str">
        <f>""</f>
        <v/>
      </c>
      <c r="AO29" t="str">
        <f>""</f>
        <v/>
      </c>
      <c r="AP29" t="str">
        <f>""</f>
        <v/>
      </c>
      <c r="AQ29" t="str">
        <f>""</f>
        <v/>
      </c>
    </row>
    <row r="30" spans="1:43" ht="18" customHeight="1" thickBot="1" x14ac:dyDescent="0.2">
      <c r="AC30" t="str">
        <f>""</f>
        <v/>
      </c>
      <c r="AD30" t="str">
        <f>""</f>
        <v/>
      </c>
      <c r="AE30" t="str">
        <f>""</f>
        <v/>
      </c>
      <c r="AF30" t="str">
        <f>""</f>
        <v/>
      </c>
      <c r="AG30" t="str">
        <f>""</f>
        <v/>
      </c>
      <c r="AH30" t="str">
        <f>""</f>
        <v/>
      </c>
      <c r="AI30" t="str">
        <f>""</f>
        <v/>
      </c>
      <c r="AJ30" t="str">
        <f>""</f>
        <v/>
      </c>
      <c r="AK30" t="str">
        <f>""</f>
        <v/>
      </c>
      <c r="AL30" t="str">
        <f>""</f>
        <v/>
      </c>
      <c r="AM30" t="str">
        <f>""</f>
        <v/>
      </c>
      <c r="AN30" t="str">
        <f>""</f>
        <v/>
      </c>
      <c r="AO30" t="str">
        <f>""</f>
        <v/>
      </c>
      <c r="AP30" t="str">
        <f>""</f>
        <v/>
      </c>
      <c r="AQ30" t="str">
        <f>""</f>
        <v/>
      </c>
    </row>
    <row r="31" spans="1:43" ht="18" customHeight="1" x14ac:dyDescent="0.15">
      <c r="A31" s="43" t="s">
        <v>42</v>
      </c>
      <c r="B31" s="45" t="s">
        <v>1</v>
      </c>
      <c r="C31" s="45" t="s">
        <v>43</v>
      </c>
      <c r="D31" s="45" t="s">
        <v>3</v>
      </c>
      <c r="E31" s="45" t="s">
        <v>44</v>
      </c>
      <c r="F31" s="45" t="s">
        <v>29</v>
      </c>
      <c r="G31" s="45"/>
      <c r="H31" s="45"/>
      <c r="I31" s="45"/>
      <c r="J31" s="47"/>
      <c r="R31" s="51" t="s">
        <v>55</v>
      </c>
      <c r="S31">
        <f>SUM(S22:S23)</f>
        <v>8</v>
      </c>
      <c r="T31">
        <f>SUM(T22:T23)</f>
        <v>149</v>
      </c>
      <c r="U31" s="49">
        <f>ROUND(T31/S31,2)</f>
        <v>18.63</v>
      </c>
      <c r="V31">
        <f>SUM(V22:V23)</f>
        <v>1</v>
      </c>
      <c r="W31">
        <v>600</v>
      </c>
      <c r="X31" s="49">
        <f>ROUND(SUMPRODUCT(X22:X23,S22:S23)/S31,2)</f>
        <v>533.17999999999995</v>
      </c>
      <c r="Y31" s="49" t="str">
        <f>""</f>
        <v/>
      </c>
      <c r="Z31">
        <v>444</v>
      </c>
      <c r="AC31" t="str">
        <f>""</f>
        <v/>
      </c>
      <c r="AD31" t="str">
        <f>""</f>
        <v/>
      </c>
      <c r="AE31" t="str">
        <f>""</f>
        <v/>
      </c>
      <c r="AF31" t="str">
        <f>""</f>
        <v/>
      </c>
      <c r="AG31" t="str">
        <f>""</f>
        <v/>
      </c>
      <c r="AH31" t="str">
        <f>""</f>
        <v/>
      </c>
      <c r="AI31" t="str">
        <f>""</f>
        <v/>
      </c>
      <c r="AJ31" t="str">
        <f>""</f>
        <v/>
      </c>
      <c r="AK31" t="str">
        <f>""</f>
        <v/>
      </c>
      <c r="AL31" t="str">
        <f>""</f>
        <v/>
      </c>
      <c r="AM31" t="str">
        <f>""</f>
        <v/>
      </c>
      <c r="AN31" t="str">
        <f>""</f>
        <v/>
      </c>
      <c r="AO31" t="str">
        <f>""</f>
        <v/>
      </c>
      <c r="AP31" t="str">
        <f>""</f>
        <v/>
      </c>
      <c r="AQ31" t="str">
        <f>""</f>
        <v/>
      </c>
    </row>
    <row r="32" spans="1:43" ht="18" customHeight="1" x14ac:dyDescent="0.15">
      <c r="A32" s="44"/>
      <c r="B32" s="46"/>
      <c r="C32" s="46"/>
      <c r="D32" s="46"/>
      <c r="E32" s="46"/>
      <c r="F32" s="46" t="s">
        <v>49</v>
      </c>
      <c r="G32" s="46"/>
      <c r="H32" s="46"/>
      <c r="I32" s="46"/>
      <c r="J32" s="48"/>
      <c r="AC32" t="str">
        <f>""</f>
        <v/>
      </c>
      <c r="AD32" t="str">
        <f>""</f>
        <v/>
      </c>
      <c r="AE32" t="str">
        <f>""</f>
        <v/>
      </c>
      <c r="AF32" t="str">
        <f>""</f>
        <v/>
      </c>
      <c r="AG32" t="str">
        <f>""</f>
        <v/>
      </c>
      <c r="AH32" t="str">
        <f>""</f>
        <v/>
      </c>
      <c r="AI32" t="str">
        <f>""</f>
        <v/>
      </c>
      <c r="AJ32" t="str">
        <f>""</f>
        <v/>
      </c>
      <c r="AK32" t="str">
        <f>""</f>
        <v/>
      </c>
      <c r="AL32" t="str">
        <f>""</f>
        <v/>
      </c>
      <c r="AM32" t="str">
        <f>""</f>
        <v/>
      </c>
      <c r="AN32" t="str">
        <f>""</f>
        <v/>
      </c>
      <c r="AO32" t="str">
        <f>""</f>
        <v/>
      </c>
      <c r="AP32" t="str">
        <f>""</f>
        <v/>
      </c>
      <c r="AQ32" t="str">
        <f>""</f>
        <v/>
      </c>
    </row>
    <row r="33" spans="1:43" ht="18" customHeight="1" x14ac:dyDescent="0.15">
      <c r="A33" s="44"/>
      <c r="B33" s="46"/>
      <c r="C33" s="46"/>
      <c r="D33" s="46"/>
      <c r="E33" s="46"/>
      <c r="F33" s="25" t="s">
        <v>31</v>
      </c>
      <c r="G33" s="25" t="s">
        <v>32</v>
      </c>
      <c r="H33" s="25" t="s">
        <v>33</v>
      </c>
      <c r="I33" s="25" t="s">
        <v>34</v>
      </c>
      <c r="J33" s="26" t="s">
        <v>35</v>
      </c>
      <c r="AC33" t="str">
        <f>""</f>
        <v/>
      </c>
      <c r="AD33" t="str">
        <f>""</f>
        <v/>
      </c>
      <c r="AE33" t="str">
        <f>""</f>
        <v/>
      </c>
      <c r="AF33" t="str">
        <f>""</f>
        <v/>
      </c>
      <c r="AG33" t="str">
        <f>""</f>
        <v/>
      </c>
      <c r="AH33" t="str">
        <f>""</f>
        <v/>
      </c>
      <c r="AI33" t="str">
        <f>""</f>
        <v/>
      </c>
      <c r="AJ33" t="str">
        <f>""</f>
        <v/>
      </c>
      <c r="AK33" t="str">
        <f>""</f>
        <v/>
      </c>
      <c r="AL33" t="str">
        <f>""</f>
        <v/>
      </c>
      <c r="AM33" t="str">
        <f>""</f>
        <v/>
      </c>
      <c r="AN33" t="str">
        <f>""</f>
        <v/>
      </c>
      <c r="AO33" t="str">
        <f>""</f>
        <v/>
      </c>
      <c r="AP33" t="str">
        <f>""</f>
        <v/>
      </c>
      <c r="AQ33" t="str">
        <f>""</f>
        <v/>
      </c>
    </row>
    <row r="34" spans="1:43" ht="18" customHeight="1" x14ac:dyDescent="0.15">
      <c r="A34" s="7" t="s">
        <v>23</v>
      </c>
      <c r="B34" s="1">
        <v>7</v>
      </c>
      <c r="C34" s="1">
        <v>66</v>
      </c>
      <c r="D34" s="3">
        <v>9.43</v>
      </c>
      <c r="E34" s="1">
        <v>14</v>
      </c>
      <c r="F34" s="3">
        <v>189</v>
      </c>
      <c r="G34" s="3">
        <v>149.57140000000001</v>
      </c>
      <c r="H34" s="3">
        <v>147</v>
      </c>
      <c r="I34" s="3">
        <v>117</v>
      </c>
      <c r="J34" s="18">
        <v>21.585899999999999</v>
      </c>
      <c r="R34" s="51" t="s">
        <v>23</v>
      </c>
      <c r="S34">
        <f t="shared" ref="S34" si="28">B34</f>
        <v>7</v>
      </c>
      <c r="T34">
        <f t="shared" ref="T34" si="29">C34</f>
        <v>66</v>
      </c>
      <c r="U34" s="49">
        <f t="shared" ref="U34" si="30">D34</f>
        <v>9.43</v>
      </c>
      <c r="V34">
        <f t="shared" ref="V34" si="31">E34</f>
        <v>14</v>
      </c>
      <c r="W34">
        <v>200</v>
      </c>
      <c r="X34" s="49">
        <f t="shared" ref="X34" si="32">G34</f>
        <v>149.57140000000001</v>
      </c>
      <c r="Y34" s="49">
        <f t="shared" ref="Y34" si="33">J34</f>
        <v>21.585899999999999</v>
      </c>
      <c r="Z34" s="49">
        <f t="shared" ref="Z34" si="34">I34</f>
        <v>117</v>
      </c>
      <c r="AC34" t="str">
        <f>""</f>
        <v/>
      </c>
      <c r="AD34" t="str">
        <f>""</f>
        <v/>
      </c>
      <c r="AE34" t="str">
        <f>""</f>
        <v/>
      </c>
      <c r="AF34" t="str">
        <f>""</f>
        <v/>
      </c>
      <c r="AG34" t="str">
        <f>""</f>
        <v/>
      </c>
      <c r="AH34" t="str">
        <f>""</f>
        <v/>
      </c>
      <c r="AI34" t="str">
        <f>""</f>
        <v/>
      </c>
      <c r="AJ34" t="str">
        <f>""</f>
        <v/>
      </c>
      <c r="AK34" t="str">
        <f>""</f>
        <v/>
      </c>
      <c r="AL34" t="str">
        <f>""</f>
        <v/>
      </c>
      <c r="AM34" t="str">
        <f>""</f>
        <v/>
      </c>
      <c r="AN34" t="str">
        <f>""</f>
        <v/>
      </c>
      <c r="AO34" t="str">
        <f>""</f>
        <v/>
      </c>
      <c r="AP34" t="str">
        <f>""</f>
        <v/>
      </c>
      <c r="AQ34" t="str">
        <f>""</f>
        <v/>
      </c>
    </row>
    <row r="35" spans="1:43" ht="18" customHeight="1" x14ac:dyDescent="0.15">
      <c r="A35" s="7" t="s">
        <v>24</v>
      </c>
      <c r="B35" s="1">
        <v>1</v>
      </c>
      <c r="C35" s="1">
        <v>19</v>
      </c>
      <c r="D35" s="3">
        <v>19</v>
      </c>
      <c r="E35" s="1">
        <v>1</v>
      </c>
      <c r="F35" s="3">
        <v>111</v>
      </c>
      <c r="G35" s="3">
        <v>111</v>
      </c>
      <c r="H35" s="3">
        <v>111</v>
      </c>
      <c r="I35" s="3">
        <v>111</v>
      </c>
      <c r="J35" s="18">
        <v>0</v>
      </c>
      <c r="R35" t="str">
        <f t="shared" ref="R35:R38" si="35">A35&amp;"(실기)"</f>
        <v>보컬뮤직전공(성악)(실기)</v>
      </c>
      <c r="S35">
        <f t="shared" ref="S35:S38" si="36">B35</f>
        <v>1</v>
      </c>
      <c r="T35">
        <f t="shared" ref="T35:T38" si="37">C35</f>
        <v>19</v>
      </c>
      <c r="U35" s="49">
        <f t="shared" ref="U35:U38" si="38">D35</f>
        <v>19</v>
      </c>
      <c r="V35">
        <f t="shared" ref="V35:V38" si="39">E35</f>
        <v>1</v>
      </c>
      <c r="W35">
        <v>200</v>
      </c>
      <c r="X35" s="49">
        <f t="shared" ref="X35:X38" si="40">G35</f>
        <v>111</v>
      </c>
      <c r="Y35" s="49">
        <f t="shared" ref="Y35:Y38" si="41">J35</f>
        <v>0</v>
      </c>
      <c r="Z35" s="49">
        <f t="shared" ref="Z35:Z38" si="42">I35</f>
        <v>111</v>
      </c>
      <c r="AC35" t="str">
        <f>""</f>
        <v/>
      </c>
      <c r="AD35" t="str">
        <f>""</f>
        <v/>
      </c>
      <c r="AE35" t="str">
        <f>""</f>
        <v/>
      </c>
      <c r="AF35" t="str">
        <f>""</f>
        <v/>
      </c>
      <c r="AG35" t="str">
        <f>""</f>
        <v/>
      </c>
      <c r="AH35" t="str">
        <f>""</f>
        <v/>
      </c>
      <c r="AI35" t="str">
        <f>""</f>
        <v/>
      </c>
      <c r="AJ35" t="str">
        <f>""</f>
        <v/>
      </c>
      <c r="AK35" t="str">
        <f>""</f>
        <v/>
      </c>
      <c r="AL35" t="str">
        <f>""</f>
        <v/>
      </c>
      <c r="AM35" t="str">
        <f>""</f>
        <v/>
      </c>
      <c r="AN35" t="str">
        <f>""</f>
        <v/>
      </c>
      <c r="AO35" t="str">
        <f>""</f>
        <v/>
      </c>
      <c r="AP35" t="str">
        <f>""</f>
        <v/>
      </c>
      <c r="AQ35" t="str">
        <f>""</f>
        <v/>
      </c>
    </row>
    <row r="36" spans="1:43" ht="18" customHeight="1" x14ac:dyDescent="0.15">
      <c r="A36" s="7" t="s">
        <v>25</v>
      </c>
      <c r="B36" s="1">
        <v>6</v>
      </c>
      <c r="C36" s="1">
        <v>193</v>
      </c>
      <c r="D36" s="3">
        <v>32.17</v>
      </c>
      <c r="E36" s="1">
        <v>3</v>
      </c>
      <c r="F36" s="3">
        <v>134</v>
      </c>
      <c r="G36" s="3">
        <v>108.16670000000001</v>
      </c>
      <c r="H36" s="3">
        <v>97</v>
      </c>
      <c r="I36" s="3">
        <v>91</v>
      </c>
      <c r="J36" s="18">
        <v>15.942600000000001</v>
      </c>
      <c r="R36" t="str">
        <f t="shared" si="35"/>
        <v>보컬뮤직전공(실용보컬)(실기)</v>
      </c>
      <c r="S36">
        <f t="shared" si="36"/>
        <v>6</v>
      </c>
      <c r="T36">
        <f t="shared" si="37"/>
        <v>193</v>
      </c>
      <c r="U36" s="49">
        <f t="shared" si="38"/>
        <v>32.17</v>
      </c>
      <c r="V36">
        <f t="shared" si="39"/>
        <v>3</v>
      </c>
      <c r="W36">
        <v>200</v>
      </c>
      <c r="X36" s="49">
        <f t="shared" si="40"/>
        <v>108.16670000000001</v>
      </c>
      <c r="Y36" s="49">
        <f t="shared" si="41"/>
        <v>15.942600000000001</v>
      </c>
      <c r="Z36" s="49">
        <f t="shared" si="42"/>
        <v>91</v>
      </c>
      <c r="AC36" t="str">
        <f>""</f>
        <v/>
      </c>
      <c r="AD36" t="str">
        <f>""</f>
        <v/>
      </c>
      <c r="AE36" t="str">
        <f>""</f>
        <v/>
      </c>
      <c r="AF36" t="str">
        <f>""</f>
        <v/>
      </c>
      <c r="AG36" t="str">
        <f>""</f>
        <v/>
      </c>
      <c r="AH36" t="str">
        <f>""</f>
        <v/>
      </c>
      <c r="AI36" t="str">
        <f>""</f>
        <v/>
      </c>
      <c r="AJ36" t="str">
        <f>""</f>
        <v/>
      </c>
      <c r="AK36" t="str">
        <f>""</f>
        <v/>
      </c>
      <c r="AL36" t="str">
        <f>""</f>
        <v/>
      </c>
      <c r="AM36" t="str">
        <f>""</f>
        <v/>
      </c>
      <c r="AN36" t="str">
        <f>""</f>
        <v/>
      </c>
      <c r="AO36" t="str">
        <f>""</f>
        <v/>
      </c>
      <c r="AP36" t="str">
        <f>""</f>
        <v/>
      </c>
      <c r="AQ36" t="str">
        <f>""</f>
        <v/>
      </c>
    </row>
    <row r="37" spans="1:43" ht="18" customHeight="1" x14ac:dyDescent="0.15">
      <c r="A37" s="7" t="s">
        <v>26</v>
      </c>
      <c r="B37" s="1">
        <v>5</v>
      </c>
      <c r="C37" s="1">
        <v>24</v>
      </c>
      <c r="D37" s="3">
        <v>4.8</v>
      </c>
      <c r="E37" s="1">
        <v>8</v>
      </c>
      <c r="F37" s="3">
        <v>150</v>
      </c>
      <c r="G37" s="3">
        <v>125.8</v>
      </c>
      <c r="H37" s="3">
        <v>114</v>
      </c>
      <c r="I37" s="3">
        <v>97</v>
      </c>
      <c r="J37" s="18">
        <v>20.547499999999999</v>
      </c>
      <c r="R37" s="51" t="s">
        <v>26</v>
      </c>
      <c r="S37">
        <f t="shared" si="36"/>
        <v>5</v>
      </c>
      <c r="T37">
        <f t="shared" si="37"/>
        <v>24</v>
      </c>
      <c r="U37" s="49">
        <f t="shared" si="38"/>
        <v>4.8</v>
      </c>
      <c r="V37">
        <f t="shared" si="39"/>
        <v>8</v>
      </c>
      <c r="W37">
        <v>200</v>
      </c>
      <c r="X37" s="49">
        <f t="shared" si="40"/>
        <v>125.8</v>
      </c>
      <c r="Y37" s="49">
        <f t="shared" si="41"/>
        <v>20.547499999999999</v>
      </c>
      <c r="Z37" s="49">
        <f t="shared" si="42"/>
        <v>97</v>
      </c>
      <c r="AC37" t="str">
        <f>""</f>
        <v/>
      </c>
      <c r="AD37" t="str">
        <f>""</f>
        <v/>
      </c>
      <c r="AE37" t="str">
        <f>""</f>
        <v/>
      </c>
      <c r="AF37" t="str">
        <f>""</f>
        <v/>
      </c>
      <c r="AG37" t="str">
        <f>""</f>
        <v/>
      </c>
      <c r="AH37" t="str">
        <f>""</f>
        <v/>
      </c>
      <c r="AI37" t="str">
        <f>""</f>
        <v/>
      </c>
      <c r="AJ37" t="str">
        <f>""</f>
        <v/>
      </c>
      <c r="AK37" t="str">
        <f>""</f>
        <v/>
      </c>
      <c r="AL37" t="str">
        <f>""</f>
        <v/>
      </c>
      <c r="AM37" t="str">
        <f>""</f>
        <v/>
      </c>
      <c r="AN37" t="str">
        <f>""</f>
        <v/>
      </c>
      <c r="AO37" t="str">
        <f>""</f>
        <v/>
      </c>
      <c r="AP37" t="str">
        <f>""</f>
        <v/>
      </c>
      <c r="AQ37" t="str">
        <f>""</f>
        <v/>
      </c>
    </row>
    <row r="38" spans="1:43" ht="18" customHeight="1" thickBot="1" x14ac:dyDescent="0.2">
      <c r="A38" s="9" t="s">
        <v>27</v>
      </c>
      <c r="B38" s="10">
        <v>5</v>
      </c>
      <c r="C38" s="10">
        <v>258</v>
      </c>
      <c r="D38" s="11">
        <v>51.6</v>
      </c>
      <c r="E38" s="10">
        <v>1</v>
      </c>
      <c r="F38" s="11">
        <v>139</v>
      </c>
      <c r="G38" s="11">
        <v>87.4</v>
      </c>
      <c r="H38" s="11">
        <v>54</v>
      </c>
      <c r="I38" s="11">
        <v>51</v>
      </c>
      <c r="J38" s="19">
        <v>40.525300000000001</v>
      </c>
      <c r="R38" s="51" t="s">
        <v>27</v>
      </c>
      <c r="S38">
        <f t="shared" si="36"/>
        <v>5</v>
      </c>
      <c r="T38">
        <f t="shared" si="37"/>
        <v>258</v>
      </c>
      <c r="U38" s="49">
        <f t="shared" si="38"/>
        <v>51.6</v>
      </c>
      <c r="V38">
        <f t="shared" si="39"/>
        <v>1</v>
      </c>
      <c r="W38">
        <v>200</v>
      </c>
      <c r="X38" s="49">
        <f t="shared" si="40"/>
        <v>87.4</v>
      </c>
      <c r="Y38" s="49">
        <f t="shared" si="41"/>
        <v>40.525300000000001</v>
      </c>
      <c r="Z38" s="49">
        <f t="shared" si="42"/>
        <v>51</v>
      </c>
      <c r="AC38" t="str">
        <f>""</f>
        <v/>
      </c>
      <c r="AD38" t="str">
        <f>""</f>
        <v/>
      </c>
      <c r="AE38" t="str">
        <f>""</f>
        <v/>
      </c>
      <c r="AF38" t="str">
        <f>""</f>
        <v/>
      </c>
      <c r="AG38" t="str">
        <f>""</f>
        <v/>
      </c>
      <c r="AH38" t="str">
        <f>""</f>
        <v/>
      </c>
      <c r="AI38" t="str">
        <f>""</f>
        <v/>
      </c>
      <c r="AJ38" t="str">
        <f>""</f>
        <v/>
      </c>
      <c r="AK38" t="str">
        <f>""</f>
        <v/>
      </c>
      <c r="AL38" t="str">
        <f>""</f>
        <v/>
      </c>
      <c r="AM38" t="str">
        <f>""</f>
        <v/>
      </c>
      <c r="AN38" t="str">
        <f>""</f>
        <v/>
      </c>
      <c r="AO38" t="str">
        <f>""</f>
        <v/>
      </c>
      <c r="AP38" t="str">
        <f>""</f>
        <v/>
      </c>
      <c r="AQ38" t="str">
        <f>""</f>
        <v/>
      </c>
    </row>
    <row r="44" spans="1:43" ht="18" customHeight="1" x14ac:dyDescent="0.15">
      <c r="R44" s="51" t="s">
        <v>56</v>
      </c>
      <c r="S44">
        <f>SUM(S35:S36)</f>
        <v>7</v>
      </c>
      <c r="T44">
        <f>SUM(T35:T36)</f>
        <v>212</v>
      </c>
      <c r="U44" s="49">
        <f>ROUND(T44/S44,2)</f>
        <v>30.29</v>
      </c>
      <c r="V44">
        <f>SUM(V35:V36)</f>
        <v>4</v>
      </c>
      <c r="W44">
        <v>600</v>
      </c>
      <c r="X44" s="49">
        <f>ROUND(SUMPRODUCT(X35:X36,S35:S36)/S44,2)</f>
        <v>108.57</v>
      </c>
      <c r="Y44" s="49" t="str">
        <f>""</f>
        <v/>
      </c>
      <c r="Z44" s="49">
        <v>91</v>
      </c>
    </row>
  </sheetData>
  <mergeCells count="26">
    <mergeCell ref="F31:J31"/>
    <mergeCell ref="F32:J32"/>
    <mergeCell ref="A31:A33"/>
    <mergeCell ref="B31:B33"/>
    <mergeCell ref="C31:C33"/>
    <mergeCell ref="D31:D33"/>
    <mergeCell ref="E31:E33"/>
    <mergeCell ref="X4:AB4"/>
    <mergeCell ref="AC4:AG4"/>
    <mergeCell ref="A19:A21"/>
    <mergeCell ref="B19:B21"/>
    <mergeCell ref="C19:C21"/>
    <mergeCell ref="D19:D21"/>
    <mergeCell ref="E19:E21"/>
    <mergeCell ref="F19:J19"/>
    <mergeCell ref="F20:J20"/>
    <mergeCell ref="A1:P1"/>
    <mergeCell ref="A17:P17"/>
    <mergeCell ref="A3:A5"/>
    <mergeCell ref="B3:B5"/>
    <mergeCell ref="C3:C5"/>
    <mergeCell ref="D3:D5"/>
    <mergeCell ref="E3:E5"/>
    <mergeCell ref="F4:J4"/>
    <mergeCell ref="K4:O4"/>
    <mergeCell ref="F3:P3"/>
  </mergeCells>
  <phoneticPr fontId="1" type="noConversion"/>
  <pageMargins left="0.25" right="0.25" top="0.75" bottom="0.75" header="0.3" footer="0.3"/>
  <pageSetup paperSize="9" scale="66" orientation="portrait" copies="6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"/>
  <sheetViews>
    <sheetView zoomScale="115" zoomScaleNormal="115" workbookViewId="0">
      <pane ySplit="3" topLeftCell="A13" activePane="bottomLeft" state="frozenSplit"/>
      <selection pane="bottomLeft" activeCell="A3" sqref="A3:J13"/>
    </sheetView>
  </sheetViews>
  <sheetFormatPr defaultColWidth="16.6640625" defaultRowHeight="18" customHeight="1" x14ac:dyDescent="0.15"/>
  <cols>
    <col min="1" max="1" width="34.5" bestFit="1" customWidth="1"/>
    <col min="2" max="10" width="10.83203125" customWidth="1"/>
  </cols>
  <sheetData>
    <row r="1" spans="1:10" ht="22.5" x14ac:dyDescent="0.15">
      <c r="A1" s="27" t="s">
        <v>46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 customHeight="1" thickBot="1" x14ac:dyDescent="0.2"/>
    <row r="3" spans="1:10" s="2" customFormat="1" ht="24.95" customHeight="1" x14ac:dyDescent="0.15">
      <c r="A3" s="37" t="s">
        <v>42</v>
      </c>
      <c r="B3" s="39" t="s">
        <v>1</v>
      </c>
      <c r="C3" s="39" t="s">
        <v>43</v>
      </c>
      <c r="D3" s="39" t="s">
        <v>3</v>
      </c>
      <c r="E3" s="39" t="s">
        <v>44</v>
      </c>
      <c r="F3" s="39" t="s">
        <v>29</v>
      </c>
      <c r="G3" s="39"/>
      <c r="H3" s="39"/>
      <c r="I3" s="39"/>
      <c r="J3" s="41"/>
    </row>
    <row r="4" spans="1:10" s="2" customFormat="1" ht="24.95" customHeight="1" x14ac:dyDescent="0.15">
      <c r="A4" s="38"/>
      <c r="B4" s="40"/>
      <c r="C4" s="40"/>
      <c r="D4" s="40"/>
      <c r="E4" s="40"/>
      <c r="F4" s="40" t="s">
        <v>45</v>
      </c>
      <c r="G4" s="40"/>
      <c r="H4" s="40"/>
      <c r="I4" s="40"/>
      <c r="J4" s="42"/>
    </row>
    <row r="5" spans="1:10" s="2" customFormat="1" ht="24.95" customHeight="1" x14ac:dyDescent="0.15">
      <c r="A5" s="38"/>
      <c r="B5" s="40"/>
      <c r="C5" s="40"/>
      <c r="D5" s="40"/>
      <c r="E5" s="40"/>
      <c r="F5" s="16" t="s">
        <v>31</v>
      </c>
      <c r="G5" s="16" t="s">
        <v>32</v>
      </c>
      <c r="H5" s="16" t="s">
        <v>33</v>
      </c>
      <c r="I5" s="16" t="s">
        <v>34</v>
      </c>
      <c r="J5" s="17" t="s">
        <v>35</v>
      </c>
    </row>
    <row r="6" spans="1:10" ht="24.95" customHeight="1" x14ac:dyDescent="0.15">
      <c r="A6" s="7" t="s">
        <v>15</v>
      </c>
      <c r="B6" s="1">
        <v>3</v>
      </c>
      <c r="C6" s="1">
        <v>51</v>
      </c>
      <c r="D6" s="3">
        <v>17</v>
      </c>
      <c r="E6" s="1">
        <v>1</v>
      </c>
      <c r="F6" s="3">
        <v>577.20000000000005</v>
      </c>
      <c r="G6" s="3">
        <v>537.5</v>
      </c>
      <c r="H6" s="3">
        <v>539.4</v>
      </c>
      <c r="I6" s="3">
        <v>495.9</v>
      </c>
      <c r="J6" s="18">
        <v>40.683300000000003</v>
      </c>
    </row>
    <row r="7" spans="1:10" ht="24.95" customHeight="1" x14ac:dyDescent="0.15">
      <c r="A7" s="7" t="s">
        <v>16</v>
      </c>
      <c r="B7" s="1">
        <v>5</v>
      </c>
      <c r="C7" s="1">
        <v>98</v>
      </c>
      <c r="D7" s="3">
        <v>19.600000000000001</v>
      </c>
      <c r="E7" s="1" t="s">
        <v>28</v>
      </c>
      <c r="F7" s="3">
        <v>584.4</v>
      </c>
      <c r="G7" s="3">
        <v>530.58000000000004</v>
      </c>
      <c r="H7" s="3">
        <v>502.8</v>
      </c>
      <c r="I7" s="3">
        <v>444</v>
      </c>
      <c r="J7" s="18">
        <v>57.1843</v>
      </c>
    </row>
    <row r="8" spans="1:10" ht="24.95" customHeight="1" x14ac:dyDescent="0.15">
      <c r="A8" s="7" t="s">
        <v>17</v>
      </c>
      <c r="B8" s="1">
        <v>8</v>
      </c>
      <c r="C8" s="1">
        <v>71</v>
      </c>
      <c r="D8" s="3">
        <v>8.8800000000000008</v>
      </c>
      <c r="E8" s="1">
        <v>2</v>
      </c>
      <c r="F8" s="3">
        <v>550.79999999999995</v>
      </c>
      <c r="G8" s="3">
        <v>533.85</v>
      </c>
      <c r="H8" s="3">
        <v>534.9</v>
      </c>
      <c r="I8" s="3">
        <v>515.70000000000005</v>
      </c>
      <c r="J8" s="18">
        <v>10.667</v>
      </c>
    </row>
    <row r="9" spans="1:10" ht="24.95" customHeight="1" x14ac:dyDescent="0.15">
      <c r="A9" s="7" t="s">
        <v>18</v>
      </c>
      <c r="B9" s="1">
        <v>10</v>
      </c>
      <c r="C9" s="1">
        <v>74</v>
      </c>
      <c r="D9" s="3">
        <v>7.4</v>
      </c>
      <c r="E9" s="1">
        <v>6</v>
      </c>
      <c r="F9" s="3">
        <v>549</v>
      </c>
      <c r="G9" s="3">
        <v>513.6</v>
      </c>
      <c r="H9" s="3">
        <v>537</v>
      </c>
      <c r="I9" s="3">
        <v>450</v>
      </c>
      <c r="J9" s="18">
        <v>35.911000000000001</v>
      </c>
    </row>
    <row r="10" spans="1:10" ht="24.95" customHeight="1" x14ac:dyDescent="0.15">
      <c r="A10" s="7" t="s">
        <v>19</v>
      </c>
      <c r="B10" s="1">
        <v>38</v>
      </c>
      <c r="C10" s="1">
        <v>617</v>
      </c>
      <c r="D10" s="3">
        <v>16.239999999999998</v>
      </c>
      <c r="E10" s="1">
        <v>15</v>
      </c>
      <c r="F10" s="3">
        <v>552</v>
      </c>
      <c r="G10" s="3">
        <v>508.3947</v>
      </c>
      <c r="H10" s="3">
        <v>524</v>
      </c>
      <c r="I10" s="3">
        <v>458</v>
      </c>
      <c r="J10" s="18">
        <v>24.204699999999999</v>
      </c>
    </row>
    <row r="11" spans="1:10" ht="24.95" customHeight="1" x14ac:dyDescent="0.15">
      <c r="A11" s="7" t="s">
        <v>20</v>
      </c>
      <c r="B11" s="1">
        <v>6</v>
      </c>
      <c r="C11" s="1">
        <v>86</v>
      </c>
      <c r="D11" s="3">
        <v>14.33</v>
      </c>
      <c r="E11" s="1">
        <v>3</v>
      </c>
      <c r="F11" s="3">
        <v>564</v>
      </c>
      <c r="G11" s="3">
        <v>520.79999999999995</v>
      </c>
      <c r="H11" s="3">
        <v>543</v>
      </c>
      <c r="I11" s="3">
        <v>480</v>
      </c>
      <c r="J11" s="18">
        <v>36.533499999999997</v>
      </c>
    </row>
    <row r="12" spans="1:10" ht="24.95" customHeight="1" x14ac:dyDescent="0.15">
      <c r="A12" s="7" t="s">
        <v>21</v>
      </c>
      <c r="B12" s="1">
        <v>12</v>
      </c>
      <c r="C12" s="1">
        <v>125</v>
      </c>
      <c r="D12" s="3">
        <v>10.42</v>
      </c>
      <c r="E12" s="1">
        <v>4</v>
      </c>
      <c r="F12" s="3">
        <v>585</v>
      </c>
      <c r="G12" s="3">
        <v>531</v>
      </c>
      <c r="H12" s="3">
        <v>504</v>
      </c>
      <c r="I12" s="3">
        <v>456</v>
      </c>
      <c r="J12" s="18">
        <v>34.585900000000002</v>
      </c>
    </row>
    <row r="13" spans="1:10" ht="24.95" customHeight="1" thickBot="1" x14ac:dyDescent="0.2">
      <c r="A13" s="9" t="s">
        <v>22</v>
      </c>
      <c r="B13" s="10">
        <v>10</v>
      </c>
      <c r="C13" s="10">
        <v>55</v>
      </c>
      <c r="D13" s="11">
        <v>5.5</v>
      </c>
      <c r="E13" s="10" t="s">
        <v>28</v>
      </c>
      <c r="F13" s="11">
        <v>547.79999999999995</v>
      </c>
      <c r="G13" s="11">
        <v>523.98</v>
      </c>
      <c r="H13" s="11">
        <v>510.6</v>
      </c>
      <c r="I13" s="11">
        <v>495.9</v>
      </c>
      <c r="J13" s="19">
        <v>18.6313</v>
      </c>
    </row>
    <row r="14" spans="1:10" ht="95.25" customHeight="1" x14ac:dyDescent="0.15">
      <c r="A14" s="28" t="s">
        <v>47</v>
      </c>
      <c r="B14" s="29"/>
      <c r="C14" s="29"/>
      <c r="D14" s="29"/>
      <c r="E14" s="29"/>
      <c r="F14" s="29"/>
      <c r="G14" s="29"/>
      <c r="H14" s="29"/>
      <c r="I14" s="29"/>
      <c r="J14" s="29"/>
    </row>
  </sheetData>
  <mergeCells count="9">
    <mergeCell ref="A1:J1"/>
    <mergeCell ref="A14:J14"/>
    <mergeCell ref="A3:A5"/>
    <mergeCell ref="B3:B5"/>
    <mergeCell ref="C3:C5"/>
    <mergeCell ref="D3:D5"/>
    <mergeCell ref="E3:E5"/>
    <mergeCell ref="F3:J3"/>
    <mergeCell ref="F4:J4"/>
  </mergeCells>
  <phoneticPr fontId="1" type="noConversion"/>
  <pageMargins left="0.25" right="0.25" top="0.75" bottom="0.75" header="0.3" footer="0.3"/>
  <pageSetup paperSize="9" scale="92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zoomScale="115" zoomScaleNormal="115" workbookViewId="0">
      <pane ySplit="3" topLeftCell="A10" activePane="bottomLeft" state="frozenSplit"/>
      <selection pane="bottomLeft" activeCell="A3" sqref="A3:J10"/>
    </sheetView>
  </sheetViews>
  <sheetFormatPr defaultColWidth="16.6640625" defaultRowHeight="18" customHeight="1" x14ac:dyDescent="0.15"/>
  <cols>
    <col min="1" max="1" width="27.5" bestFit="1" customWidth="1"/>
    <col min="2" max="10" width="12.83203125" customWidth="1"/>
  </cols>
  <sheetData>
    <row r="1" spans="1:10" ht="22.5" x14ac:dyDescent="0.15">
      <c r="A1" s="27" t="s">
        <v>48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 customHeight="1" thickBot="1" x14ac:dyDescent="0.2"/>
    <row r="3" spans="1:10" s="2" customFormat="1" ht="24.95" customHeight="1" x14ac:dyDescent="0.15">
      <c r="A3" s="43" t="s">
        <v>42</v>
      </c>
      <c r="B3" s="45" t="s">
        <v>1</v>
      </c>
      <c r="C3" s="45" t="s">
        <v>43</v>
      </c>
      <c r="D3" s="45" t="s">
        <v>3</v>
      </c>
      <c r="E3" s="45" t="s">
        <v>44</v>
      </c>
      <c r="F3" s="45" t="s">
        <v>29</v>
      </c>
      <c r="G3" s="45"/>
      <c r="H3" s="45"/>
      <c r="I3" s="45"/>
      <c r="J3" s="47"/>
    </row>
    <row r="4" spans="1:10" s="2" customFormat="1" ht="24.95" customHeight="1" x14ac:dyDescent="0.15">
      <c r="A4" s="44"/>
      <c r="B4" s="46"/>
      <c r="C4" s="46"/>
      <c r="D4" s="46"/>
      <c r="E4" s="46"/>
      <c r="F4" s="46" t="s">
        <v>49</v>
      </c>
      <c r="G4" s="46"/>
      <c r="H4" s="46"/>
      <c r="I4" s="46"/>
      <c r="J4" s="48"/>
    </row>
    <row r="5" spans="1:10" s="2" customFormat="1" ht="24.95" customHeight="1" x14ac:dyDescent="0.15">
      <c r="A5" s="44"/>
      <c r="B5" s="46"/>
      <c r="C5" s="46"/>
      <c r="D5" s="46"/>
      <c r="E5" s="46"/>
      <c r="F5" s="20" t="s">
        <v>31</v>
      </c>
      <c r="G5" s="20" t="s">
        <v>32</v>
      </c>
      <c r="H5" s="20" t="s">
        <v>33</v>
      </c>
      <c r="I5" s="20" t="s">
        <v>34</v>
      </c>
      <c r="J5" s="21" t="s">
        <v>35</v>
      </c>
    </row>
    <row r="6" spans="1:10" ht="24.95" customHeight="1" x14ac:dyDescent="0.15">
      <c r="A6" s="7" t="s">
        <v>23</v>
      </c>
      <c r="B6" s="1">
        <v>7</v>
      </c>
      <c r="C6" s="1">
        <v>66</v>
      </c>
      <c r="D6" s="3">
        <v>9.43</v>
      </c>
      <c r="E6" s="1">
        <v>14</v>
      </c>
      <c r="F6" s="3">
        <v>189</v>
      </c>
      <c r="G6" s="3">
        <v>149.57140000000001</v>
      </c>
      <c r="H6" s="3">
        <v>147</v>
      </c>
      <c r="I6" s="3">
        <v>117</v>
      </c>
      <c r="J6" s="18">
        <v>21.585899999999999</v>
      </c>
    </row>
    <row r="7" spans="1:10" ht="24.95" customHeight="1" x14ac:dyDescent="0.15">
      <c r="A7" s="7" t="s">
        <v>24</v>
      </c>
      <c r="B7" s="1">
        <v>1</v>
      </c>
      <c r="C7" s="1">
        <v>19</v>
      </c>
      <c r="D7" s="3">
        <v>19</v>
      </c>
      <c r="E7" s="1">
        <v>1</v>
      </c>
      <c r="F7" s="3">
        <v>111</v>
      </c>
      <c r="G7" s="3">
        <v>111</v>
      </c>
      <c r="H7" s="3">
        <v>111</v>
      </c>
      <c r="I7" s="3">
        <v>111</v>
      </c>
      <c r="J7" s="18">
        <v>0</v>
      </c>
    </row>
    <row r="8" spans="1:10" ht="24.95" customHeight="1" x14ac:dyDescent="0.15">
      <c r="A8" s="7" t="s">
        <v>25</v>
      </c>
      <c r="B8" s="1">
        <v>6</v>
      </c>
      <c r="C8" s="1">
        <v>193</v>
      </c>
      <c r="D8" s="3">
        <v>32.17</v>
      </c>
      <c r="E8" s="1">
        <v>3</v>
      </c>
      <c r="F8" s="3">
        <v>134</v>
      </c>
      <c r="G8" s="3">
        <v>108.16670000000001</v>
      </c>
      <c r="H8" s="3">
        <v>97</v>
      </c>
      <c r="I8" s="3">
        <v>91</v>
      </c>
      <c r="J8" s="18">
        <v>15.942600000000001</v>
      </c>
    </row>
    <row r="9" spans="1:10" ht="24.95" customHeight="1" x14ac:dyDescent="0.15">
      <c r="A9" s="7" t="s">
        <v>26</v>
      </c>
      <c r="B9" s="1">
        <v>5</v>
      </c>
      <c r="C9" s="1">
        <v>24</v>
      </c>
      <c r="D9" s="3">
        <v>4.8</v>
      </c>
      <c r="E9" s="1">
        <v>8</v>
      </c>
      <c r="F9" s="3">
        <v>150</v>
      </c>
      <c r="G9" s="3">
        <v>125.8</v>
      </c>
      <c r="H9" s="3">
        <v>114</v>
      </c>
      <c r="I9" s="3">
        <v>97</v>
      </c>
      <c r="J9" s="18">
        <v>20.547499999999999</v>
      </c>
    </row>
    <row r="10" spans="1:10" ht="24.95" customHeight="1" thickBot="1" x14ac:dyDescent="0.2">
      <c r="A10" s="9" t="s">
        <v>27</v>
      </c>
      <c r="B10" s="10">
        <v>5</v>
      </c>
      <c r="C10" s="10">
        <v>258</v>
      </c>
      <c r="D10" s="11">
        <v>51.6</v>
      </c>
      <c r="E10" s="10">
        <v>1</v>
      </c>
      <c r="F10" s="11">
        <v>139</v>
      </c>
      <c r="G10" s="11">
        <v>87.4</v>
      </c>
      <c r="H10" s="11">
        <v>54</v>
      </c>
      <c r="I10" s="11">
        <v>51</v>
      </c>
      <c r="J10" s="19">
        <v>40.525300000000001</v>
      </c>
    </row>
    <row r="11" spans="1:10" ht="52.5" customHeight="1" x14ac:dyDescent="0.15">
      <c r="A11" s="28" t="s">
        <v>50</v>
      </c>
      <c r="B11" s="29"/>
      <c r="C11" s="29"/>
      <c r="D11" s="29"/>
      <c r="E11" s="29"/>
      <c r="F11" s="29"/>
      <c r="G11" s="29"/>
      <c r="H11" s="29"/>
      <c r="I11" s="29"/>
      <c r="J11" s="29"/>
    </row>
  </sheetData>
  <mergeCells count="9">
    <mergeCell ref="A11:J11"/>
    <mergeCell ref="A1:J1"/>
    <mergeCell ref="A3:A5"/>
    <mergeCell ref="B3:B5"/>
    <mergeCell ref="C3:C5"/>
    <mergeCell ref="D3:D5"/>
    <mergeCell ref="E3:E5"/>
    <mergeCell ref="F3:J3"/>
    <mergeCell ref="F4:J4"/>
  </mergeCells>
  <phoneticPr fontId="1" type="noConversion"/>
  <pageMargins left="0.25" right="0.25" top="0.75" bottom="0.75" header="0.3" footer="0.3"/>
  <pageSetup paperSize="9" scale="85" orientation="portrait" copies="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수능(일반)</vt:lpstr>
      <vt:lpstr>수능(실기)</vt:lpstr>
      <vt:lpstr>실기우수자</vt:lpstr>
    </vt:vector>
  </TitlesOfParts>
  <Company>ComponentOne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 효상</cp:lastModifiedBy>
  <cp:lastPrinted>2026-05-04T09:55:12Z</cp:lastPrinted>
  <dcterms:created xsi:type="dcterms:W3CDTF">2026-04-22T06:35:08Z</dcterms:created>
  <dcterms:modified xsi:type="dcterms:W3CDTF">2026-05-14T09:05:51Z</dcterms:modified>
</cp:coreProperties>
</file>