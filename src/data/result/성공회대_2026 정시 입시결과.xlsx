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165" windowWidth="28755" windowHeight="5595"/>
  </bookViews>
  <sheets>
    <sheet name="정시" sheetId="2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6" i="2" l="1"/>
  <c r="U6" i="2"/>
  <c r="N7" i="2"/>
  <c r="O7" i="2"/>
  <c r="P7" i="2"/>
  <c r="Q7" i="2"/>
  <c r="R7" i="2"/>
  <c r="T7" i="2"/>
  <c r="U7" i="2"/>
  <c r="T8" i="2"/>
  <c r="U8" i="2"/>
  <c r="N9" i="2"/>
  <c r="O9" i="2"/>
  <c r="P9" i="2"/>
  <c r="Q9" i="2"/>
  <c r="R9" i="2"/>
  <c r="T9" i="2"/>
  <c r="U9" i="2"/>
  <c r="T10" i="2"/>
  <c r="U10" i="2"/>
  <c r="N11" i="2"/>
  <c r="O11" i="2"/>
  <c r="P11" i="2"/>
  <c r="Q11" i="2"/>
  <c r="R11" i="2"/>
  <c r="T11" i="2"/>
  <c r="U11" i="2"/>
  <c r="T12" i="2"/>
  <c r="U12" i="2"/>
  <c r="N13" i="2"/>
  <c r="O13" i="2"/>
  <c r="P13" i="2"/>
  <c r="Q13" i="2"/>
  <c r="R13" i="2"/>
  <c r="T13" i="2"/>
  <c r="U13" i="2"/>
  <c r="T14" i="2"/>
  <c r="U14" i="2"/>
  <c r="N15" i="2"/>
  <c r="O15" i="2"/>
  <c r="P15" i="2"/>
  <c r="Q15" i="2"/>
  <c r="R15" i="2"/>
  <c r="T15" i="2"/>
  <c r="U15" i="2"/>
  <c r="T16" i="2"/>
  <c r="U16" i="2"/>
  <c r="N17" i="2"/>
  <c r="O17" i="2"/>
  <c r="P17" i="2"/>
  <c r="Q17" i="2"/>
  <c r="R17" i="2"/>
  <c r="T17" i="2"/>
  <c r="U17" i="2"/>
  <c r="U5" i="2"/>
  <c r="T5" i="2"/>
  <c r="R5" i="2"/>
  <c r="Q5" i="2"/>
  <c r="P5" i="2"/>
  <c r="O5" i="2"/>
  <c r="N5" i="2"/>
</calcChain>
</file>

<file path=xl/sharedStrings.xml><?xml version="1.0" encoding="utf-8"?>
<sst xmlns="http://schemas.openxmlformats.org/spreadsheetml/2006/main" count="31" uniqueCount="27">
  <si>
    <t>모집학과</t>
  </si>
  <si>
    <t>전형구분</t>
  </si>
  <si>
    <t>모집인원</t>
  </si>
  <si>
    <t>지원인원</t>
  </si>
  <si>
    <t>충원인원</t>
  </si>
  <si>
    <t>경쟁률</t>
  </si>
  <si>
    <t>인문융합콘텐츠학부</t>
  </si>
  <si>
    <t>사회융합학부</t>
  </si>
  <si>
    <t>경영학부</t>
  </si>
  <si>
    <t>미디어콘텐츠융합학부</t>
  </si>
  <si>
    <t>소프트웨어융합학부</t>
  </si>
  <si>
    <t>미래융합학부</t>
  </si>
  <si>
    <t>자유전공학부</t>
  </si>
  <si>
    <t>최종 평균 점수</t>
  </si>
  <si>
    <t>최종</t>
  </si>
  <si>
    <t>최저점수</t>
  </si>
  <si>
    <t>국어(백분위)</t>
  </si>
  <si>
    <t>수학(백분위)</t>
  </si>
  <si>
    <t>영어(등급)</t>
  </si>
  <si>
    <t>탐구(백분위)</t>
  </si>
  <si>
    <t>환산점수</t>
  </si>
  <si>
    <t>일반학생(수능-나군)</t>
  </si>
  <si>
    <t>일반학생(수능-다군)</t>
  </si>
  <si>
    <t>일반학생(수능-가군)</t>
  </si>
  <si>
    <t>성공회대 2026 입시결과 정시</t>
    <phoneticPr fontId="4" type="noConversion"/>
  </si>
  <si>
    <t>환평</t>
    <phoneticPr fontId="4" type="noConversion"/>
  </si>
  <si>
    <t>환저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</si>
</sst>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b/>
      <sz val="11"/>
      <color rgb="FF454545"/>
      <name val="Noto Light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454545"/>
      <name val="Noto DemiLight"/>
      <family val="2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CFF"/>
        <bgColor indexed="64"/>
      </patternFill>
    </fill>
    <fill>
      <patternFill patternType="solid">
        <fgColor rgb="FFFBFBFB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DDEE0"/>
      </right>
      <top/>
      <bottom style="medium">
        <color rgb="FF666666"/>
      </bottom>
      <diagonal/>
    </border>
    <border>
      <left/>
      <right style="medium">
        <color rgb="FFDDDEE0"/>
      </right>
      <top/>
      <bottom style="medium">
        <color rgb="FFCCD0D7"/>
      </bottom>
      <diagonal/>
    </border>
    <border>
      <left/>
      <right style="medium">
        <color rgb="FFDDDEE0"/>
      </right>
      <top/>
      <bottom style="medium">
        <color rgb="FFDDDEE0"/>
      </bottom>
      <diagonal/>
    </border>
    <border>
      <left/>
      <right style="medium">
        <color rgb="FFDDDEE0"/>
      </right>
      <top style="thick">
        <color rgb="FF03235F"/>
      </top>
      <bottom style="medium">
        <color rgb="FF666666"/>
      </bottom>
      <diagonal/>
    </border>
    <border>
      <left/>
      <right style="medium">
        <color rgb="FFDDDEE0"/>
      </right>
      <top style="medium">
        <color rgb="FF666666"/>
      </top>
      <bottom/>
      <diagonal/>
    </border>
    <border>
      <left/>
      <right style="medium">
        <color rgb="FFDDDEE0"/>
      </right>
      <top style="medium">
        <color rgb="FFCCD0D7"/>
      </top>
      <bottom/>
      <diagonal/>
    </border>
    <border>
      <left/>
      <right style="medium">
        <color rgb="FFDDDEE0"/>
      </right>
      <top style="thick">
        <color rgb="FF03235F"/>
      </top>
      <bottom/>
      <diagonal/>
    </border>
    <border>
      <left/>
      <right/>
      <top style="thick">
        <color rgb="FF03235F"/>
      </top>
      <bottom style="medium">
        <color rgb="FF666666"/>
      </bottom>
      <diagonal/>
    </border>
    <border>
      <left style="medium">
        <color rgb="FFDDDEE0"/>
      </left>
      <right style="medium">
        <color rgb="FFDDDEE0"/>
      </right>
      <top style="thick">
        <color rgb="FF03235F"/>
      </top>
      <bottom/>
      <diagonal/>
    </border>
    <border>
      <left style="medium">
        <color rgb="FFDDDEE0"/>
      </left>
      <right style="medium">
        <color rgb="FFDDDEE0"/>
      </right>
      <top/>
      <bottom style="medium">
        <color rgb="FF666666"/>
      </bottom>
      <diagonal/>
    </border>
    <border>
      <left style="medium">
        <color rgb="FFDDDEE0"/>
      </left>
      <right/>
      <top style="thick">
        <color rgb="FF03235F"/>
      </top>
      <bottom style="medium">
        <color rgb="FF666666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 indent="1"/>
    </xf>
    <xf numFmtId="0" fontId="5" fillId="0" borderId="0" xfId="0" applyFo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2" fillId="4" borderId="6" xfId="1" applyFill="1" applyBorder="1" applyAlignment="1">
      <alignment horizontal="center" vertical="center" wrapText="1"/>
    </xf>
    <xf numFmtId="0" fontId="2" fillId="4" borderId="2" xfId="1" applyFill="1" applyBorder="1" applyAlignment="1">
      <alignment horizontal="center" vertical="center" wrapText="1"/>
    </xf>
    <xf numFmtId="0" fontId="2" fillId="4" borderId="5" xfId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ter.skhu.ac.kr/enter/3084/subview.do" TargetMode="External"/><Relationship Id="rId7" Type="http://schemas.openxmlformats.org/officeDocument/2006/relationships/hyperlink" Target="https://enter.skhu.ac.kr/enter/3084/subview.do" TargetMode="External"/><Relationship Id="rId2" Type="http://schemas.openxmlformats.org/officeDocument/2006/relationships/hyperlink" Target="https://enter.skhu.ac.kr/enter/3084/subview.do" TargetMode="External"/><Relationship Id="rId1" Type="http://schemas.openxmlformats.org/officeDocument/2006/relationships/hyperlink" Target="https://enter.skhu.ac.kr/enter/3084/subview.do" TargetMode="External"/><Relationship Id="rId6" Type="http://schemas.openxmlformats.org/officeDocument/2006/relationships/hyperlink" Target="https://enter.skhu.ac.kr/enter/3084/subview.do" TargetMode="External"/><Relationship Id="rId5" Type="http://schemas.openxmlformats.org/officeDocument/2006/relationships/hyperlink" Target="https://enter.skhu.ac.kr/enter/3084/subview.do" TargetMode="External"/><Relationship Id="rId4" Type="http://schemas.openxmlformats.org/officeDocument/2006/relationships/hyperlink" Target="https://enter.skhu.ac.kr/enter/3084/subview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O5" sqref="O5"/>
    </sheetView>
  </sheetViews>
  <sheetFormatPr defaultRowHeight="16.5"/>
  <sheetData>
    <row r="1" spans="1:21" ht="21" thickBot="1">
      <c r="A1" s="4" t="s">
        <v>24</v>
      </c>
    </row>
    <row r="2" spans="1:21" ht="18" thickTop="1" thickBot="1">
      <c r="A2" s="12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9" t="s">
        <v>13</v>
      </c>
      <c r="H2" s="10"/>
      <c r="I2" s="10"/>
      <c r="J2" s="10"/>
      <c r="K2" s="11"/>
      <c r="L2" s="5" t="s">
        <v>14</v>
      </c>
    </row>
    <row r="3" spans="1:21" ht="30.75" thickBot="1">
      <c r="A3" s="13"/>
      <c r="B3" s="15"/>
      <c r="C3" s="15"/>
      <c r="D3" s="15"/>
      <c r="E3" s="15"/>
      <c r="F3" s="15"/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15</v>
      </c>
    </row>
    <row r="4" spans="1:21">
      <c r="A4" s="8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T4" t="s">
        <v>25</v>
      </c>
      <c r="U4" t="s">
        <v>26</v>
      </c>
    </row>
    <row r="5" spans="1:21" ht="43.5" thickBot="1">
      <c r="A5" s="7"/>
      <c r="B5" s="3" t="s">
        <v>21</v>
      </c>
      <c r="C5" s="3">
        <v>8</v>
      </c>
      <c r="D5" s="3">
        <v>44</v>
      </c>
      <c r="E5" s="3">
        <v>4</v>
      </c>
      <c r="F5" s="3">
        <v>5.5</v>
      </c>
      <c r="G5" s="3">
        <v>73</v>
      </c>
      <c r="H5" s="3">
        <v>81</v>
      </c>
      <c r="I5" s="3">
        <v>2.5</v>
      </c>
      <c r="J5" s="3">
        <v>90.5</v>
      </c>
      <c r="K5" s="3">
        <v>437.96</v>
      </c>
      <c r="L5" s="3">
        <v>434.94</v>
      </c>
      <c r="N5" t="str">
        <f>A4</f>
        <v>인문융합콘텐츠학부</v>
      </c>
      <c r="O5">
        <f>C5</f>
        <v>8</v>
      </c>
      <c r="P5">
        <f>D5</f>
        <v>44</v>
      </c>
      <c r="Q5">
        <f>ROUND(D5/C5,2)</f>
        <v>5.5</v>
      </c>
      <c r="R5">
        <f>E5</f>
        <v>4</v>
      </c>
      <c r="T5">
        <f>K5</f>
        <v>437.96</v>
      </c>
      <c r="U5">
        <f>L5</f>
        <v>434.94</v>
      </c>
    </row>
    <row r="6" spans="1:21">
      <c r="A6" s="6" t="s">
        <v>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T6">
        <f t="shared" ref="T6:T17" si="0">K6</f>
        <v>0</v>
      </c>
      <c r="U6">
        <f t="shared" ref="U6:U17" si="1">L6</f>
        <v>0</v>
      </c>
    </row>
    <row r="7" spans="1:21" ht="43.5" thickBot="1">
      <c r="A7" s="7"/>
      <c r="B7" s="3" t="s">
        <v>22</v>
      </c>
      <c r="C7" s="3">
        <v>12</v>
      </c>
      <c r="D7" s="3">
        <v>122</v>
      </c>
      <c r="E7" s="3">
        <v>19</v>
      </c>
      <c r="F7" s="3">
        <v>10.17</v>
      </c>
      <c r="G7" s="3">
        <v>85.9</v>
      </c>
      <c r="H7" s="3">
        <v>84</v>
      </c>
      <c r="I7" s="3">
        <v>2.64</v>
      </c>
      <c r="J7" s="3">
        <v>86.64</v>
      </c>
      <c r="K7" s="3">
        <v>448.55</v>
      </c>
      <c r="L7" s="3">
        <v>435.68</v>
      </c>
      <c r="N7" t="str">
        <f t="shared" ref="N6:N17" si="2">A6</f>
        <v>사회융합학부</v>
      </c>
      <c r="O7">
        <f t="shared" ref="O6:O17" si="3">C7</f>
        <v>12</v>
      </c>
      <c r="P7">
        <f t="shared" ref="P6:P17" si="4">D7</f>
        <v>122</v>
      </c>
      <c r="Q7">
        <f t="shared" ref="Q6:Q17" si="5">ROUND(D7/C7,2)</f>
        <v>10.17</v>
      </c>
      <c r="R7">
        <f t="shared" ref="R6:R17" si="6">E7</f>
        <v>19</v>
      </c>
      <c r="T7">
        <f t="shared" si="0"/>
        <v>448.55</v>
      </c>
      <c r="U7">
        <f t="shared" si="1"/>
        <v>435.68</v>
      </c>
    </row>
    <row r="8" spans="1:21">
      <c r="A8" s="6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T8">
        <f t="shared" si="0"/>
        <v>0</v>
      </c>
      <c r="U8">
        <f t="shared" si="1"/>
        <v>0</v>
      </c>
    </row>
    <row r="9" spans="1:21" ht="43.5" thickBot="1">
      <c r="A9" s="7"/>
      <c r="B9" s="3" t="s">
        <v>22</v>
      </c>
      <c r="C9" s="3">
        <v>6</v>
      </c>
      <c r="D9" s="3">
        <v>44</v>
      </c>
      <c r="E9" s="3">
        <v>8</v>
      </c>
      <c r="F9" s="3">
        <v>7.33</v>
      </c>
      <c r="G9" s="3">
        <v>81.5</v>
      </c>
      <c r="H9" s="3"/>
      <c r="I9" s="3">
        <v>2.33</v>
      </c>
      <c r="J9" s="3">
        <v>88.33</v>
      </c>
      <c r="K9" s="3">
        <v>446.66</v>
      </c>
      <c r="L9" s="3">
        <v>441.62</v>
      </c>
      <c r="N9" t="str">
        <f t="shared" si="2"/>
        <v>경영학부</v>
      </c>
      <c r="O9">
        <f t="shared" si="3"/>
        <v>6</v>
      </c>
      <c r="P9">
        <f t="shared" si="4"/>
        <v>44</v>
      </c>
      <c r="Q9">
        <f t="shared" si="5"/>
        <v>7.33</v>
      </c>
      <c r="R9">
        <f t="shared" si="6"/>
        <v>8</v>
      </c>
      <c r="T9">
        <f t="shared" si="0"/>
        <v>446.66</v>
      </c>
      <c r="U9">
        <f t="shared" si="1"/>
        <v>441.62</v>
      </c>
    </row>
    <row r="10" spans="1:21">
      <c r="A10" s="6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T10">
        <f t="shared" si="0"/>
        <v>0</v>
      </c>
      <c r="U10">
        <f t="shared" si="1"/>
        <v>0</v>
      </c>
    </row>
    <row r="11" spans="1:21" ht="43.5" thickBot="1">
      <c r="A11" s="7"/>
      <c r="B11" s="3" t="s">
        <v>21</v>
      </c>
      <c r="C11" s="3">
        <v>11</v>
      </c>
      <c r="D11" s="3">
        <v>69</v>
      </c>
      <c r="E11" s="3">
        <v>3</v>
      </c>
      <c r="F11" s="3">
        <v>6.27</v>
      </c>
      <c r="G11" s="3">
        <v>80.78</v>
      </c>
      <c r="H11" s="3"/>
      <c r="I11" s="3">
        <v>3.11</v>
      </c>
      <c r="J11" s="3">
        <v>90.22</v>
      </c>
      <c r="K11" s="3">
        <v>442.11</v>
      </c>
      <c r="L11" s="3">
        <v>435.12</v>
      </c>
      <c r="N11" t="str">
        <f t="shared" si="2"/>
        <v>미디어콘텐츠융합학부</v>
      </c>
      <c r="O11">
        <f t="shared" si="3"/>
        <v>11</v>
      </c>
      <c r="P11">
        <f t="shared" si="4"/>
        <v>69</v>
      </c>
      <c r="Q11">
        <f t="shared" si="5"/>
        <v>6.27</v>
      </c>
      <c r="R11">
        <f t="shared" si="6"/>
        <v>3</v>
      </c>
      <c r="T11">
        <f t="shared" si="0"/>
        <v>442.11</v>
      </c>
      <c r="U11">
        <f t="shared" si="1"/>
        <v>435.12</v>
      </c>
    </row>
    <row r="12" spans="1:21">
      <c r="A12" s="6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T12">
        <f t="shared" si="0"/>
        <v>0</v>
      </c>
      <c r="U12">
        <f t="shared" si="1"/>
        <v>0</v>
      </c>
    </row>
    <row r="13" spans="1:21" ht="43.5" thickBot="1">
      <c r="A13" s="7"/>
      <c r="B13" s="3" t="s">
        <v>22</v>
      </c>
      <c r="C13" s="3">
        <v>16</v>
      </c>
      <c r="D13" s="3">
        <v>102</v>
      </c>
      <c r="E13" s="3">
        <v>18</v>
      </c>
      <c r="F13" s="3">
        <v>6.38</v>
      </c>
      <c r="G13" s="3"/>
      <c r="H13" s="3">
        <v>77.63</v>
      </c>
      <c r="I13" s="3">
        <v>3.06</v>
      </c>
      <c r="J13" s="3">
        <v>85.31</v>
      </c>
      <c r="K13" s="3">
        <v>442.11</v>
      </c>
      <c r="L13" s="3">
        <v>438.01</v>
      </c>
      <c r="N13" t="str">
        <f t="shared" si="2"/>
        <v>소프트웨어융합학부</v>
      </c>
      <c r="O13">
        <f t="shared" si="3"/>
        <v>16</v>
      </c>
      <c r="P13">
        <f t="shared" si="4"/>
        <v>102</v>
      </c>
      <c r="Q13">
        <f t="shared" si="5"/>
        <v>6.38</v>
      </c>
      <c r="R13">
        <f t="shared" si="6"/>
        <v>18</v>
      </c>
      <c r="T13">
        <f t="shared" si="0"/>
        <v>442.11</v>
      </c>
      <c r="U13">
        <f t="shared" si="1"/>
        <v>438.01</v>
      </c>
    </row>
    <row r="14" spans="1:21">
      <c r="A14" s="6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T14">
        <f t="shared" si="0"/>
        <v>0</v>
      </c>
      <c r="U14">
        <f t="shared" si="1"/>
        <v>0</v>
      </c>
    </row>
    <row r="15" spans="1:21" ht="43.5" thickBot="1">
      <c r="A15" s="7"/>
      <c r="B15" s="3" t="s">
        <v>21</v>
      </c>
      <c r="C15" s="3">
        <v>6</v>
      </c>
      <c r="D15" s="3">
        <v>43</v>
      </c>
      <c r="E15" s="3">
        <v>4</v>
      </c>
      <c r="F15" s="3">
        <v>7.17</v>
      </c>
      <c r="G15" s="3">
        <v>78</v>
      </c>
      <c r="H15" s="3">
        <v>80.75</v>
      </c>
      <c r="I15" s="3">
        <v>3.5</v>
      </c>
      <c r="J15" s="3">
        <v>89.83</v>
      </c>
      <c r="K15" s="3">
        <v>445.57</v>
      </c>
      <c r="L15" s="3">
        <v>440.98</v>
      </c>
      <c r="N15" t="str">
        <f t="shared" si="2"/>
        <v>미래융합학부</v>
      </c>
      <c r="O15">
        <f t="shared" si="3"/>
        <v>6</v>
      </c>
      <c r="P15">
        <f t="shared" si="4"/>
        <v>43</v>
      </c>
      <c r="Q15">
        <f t="shared" si="5"/>
        <v>7.17</v>
      </c>
      <c r="R15">
        <f t="shared" si="6"/>
        <v>4</v>
      </c>
      <c r="T15">
        <f t="shared" si="0"/>
        <v>445.57</v>
      </c>
      <c r="U15">
        <f t="shared" si="1"/>
        <v>440.98</v>
      </c>
    </row>
    <row r="16" spans="1:21">
      <c r="A16" s="6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T16">
        <f t="shared" si="0"/>
        <v>0</v>
      </c>
      <c r="U16">
        <f t="shared" si="1"/>
        <v>0</v>
      </c>
    </row>
    <row r="17" spans="1:21" ht="43.5" thickBot="1">
      <c r="A17" s="7"/>
      <c r="B17" s="3" t="s">
        <v>23</v>
      </c>
      <c r="C17" s="3">
        <v>19</v>
      </c>
      <c r="D17" s="3">
        <v>140</v>
      </c>
      <c r="E17" s="3">
        <v>19</v>
      </c>
      <c r="F17" s="3">
        <v>7.37</v>
      </c>
      <c r="G17" s="3">
        <v>81.23</v>
      </c>
      <c r="H17" s="3">
        <v>82.5</v>
      </c>
      <c r="I17" s="3">
        <v>2.84</v>
      </c>
      <c r="J17" s="3">
        <v>85.21</v>
      </c>
      <c r="K17" s="3">
        <v>438.39</v>
      </c>
      <c r="L17" s="3">
        <v>433.25</v>
      </c>
      <c r="N17" t="str">
        <f t="shared" si="2"/>
        <v>자유전공학부</v>
      </c>
      <c r="O17">
        <f t="shared" si="3"/>
        <v>19</v>
      </c>
      <c r="P17">
        <f t="shared" si="4"/>
        <v>140</v>
      </c>
      <c r="Q17">
        <f t="shared" si="5"/>
        <v>7.37</v>
      </c>
      <c r="R17">
        <f t="shared" si="6"/>
        <v>19</v>
      </c>
      <c r="T17">
        <f t="shared" si="0"/>
        <v>438.39</v>
      </c>
      <c r="U17">
        <f t="shared" si="1"/>
        <v>433.25</v>
      </c>
    </row>
  </sheetData>
  <mergeCells count="14">
    <mergeCell ref="A14:A15"/>
    <mergeCell ref="A16:A17"/>
    <mergeCell ref="G2:K2"/>
    <mergeCell ref="A4:A5"/>
    <mergeCell ref="A6:A7"/>
    <mergeCell ref="A8:A9"/>
    <mergeCell ref="A10:A11"/>
    <mergeCell ref="A12:A13"/>
    <mergeCell ref="A2:A3"/>
    <mergeCell ref="B2:B3"/>
    <mergeCell ref="C2:C3"/>
    <mergeCell ref="D2:D3"/>
    <mergeCell ref="E2:E3"/>
    <mergeCell ref="F2:F3"/>
  </mergeCells>
  <phoneticPr fontId="4" type="noConversion"/>
  <hyperlinks>
    <hyperlink ref="A4" r:id="rId1" location="none" display="https://enter.skhu.ac.kr/enter/3084/subview.do - none"/>
    <hyperlink ref="A6" r:id="rId2" location="none" display="https://enter.skhu.ac.kr/enter/3084/subview.do - none"/>
    <hyperlink ref="A8" r:id="rId3" location="none" display="https://enter.skhu.ac.kr/enter/3084/subview.do - none"/>
    <hyperlink ref="A10" r:id="rId4" location="none" display="https://enter.skhu.ac.kr/enter/3084/subview.do - none"/>
    <hyperlink ref="A12" r:id="rId5" location="none" display="https://enter.skhu.ac.kr/enter/3084/subview.do - none"/>
    <hyperlink ref="A14" r:id="rId6" location="none" display="https://enter.skhu.ac.kr/enter/3084/subview.do - none"/>
    <hyperlink ref="A16" r:id="rId7" location="none" display="https://enter.skhu.ac.kr/enter/3084/subview.do - non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문경진</dc:creator>
  <cp:lastModifiedBy>이 효상</cp:lastModifiedBy>
  <dcterms:created xsi:type="dcterms:W3CDTF">2026-06-22T05:34:34Z</dcterms:created>
  <dcterms:modified xsi:type="dcterms:W3CDTF">2026-07-21T09:10:13Z</dcterms:modified>
</cp:coreProperties>
</file>